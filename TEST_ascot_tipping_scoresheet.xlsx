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205" documentId="8_{B904B16F-77D3-4252-AE0A-75A02AA69DF8}" xr6:coauthVersionLast="47" xr6:coauthVersionMax="47" xr10:uidLastSave="{10706B68-A791-48EF-ABAD-410D7990986E}"/>
  <bookViews>
    <workbookView xWindow="-108" yWindow="-108" windowWidth="23256" windowHeight="12456" tabRatio="500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3" i="4" l="1"/>
  <c r="L33" i="4"/>
  <c r="J33" i="4"/>
  <c r="H33" i="4"/>
  <c r="F33" i="4"/>
  <c r="D33" i="4"/>
  <c r="O33" i="4" s="1"/>
  <c r="N32" i="4"/>
  <c r="L32" i="4"/>
  <c r="J32" i="4"/>
  <c r="H32" i="4"/>
  <c r="F32" i="4"/>
  <c r="D32" i="4"/>
  <c r="O32" i="4" s="1"/>
  <c r="N31" i="4"/>
  <c r="L31" i="4"/>
  <c r="J31" i="4"/>
  <c r="H31" i="4"/>
  <c r="F31" i="4"/>
  <c r="D31" i="4"/>
  <c r="N30" i="4"/>
  <c r="L30" i="4"/>
  <c r="J30" i="4"/>
  <c r="H30" i="4"/>
  <c r="F30" i="4"/>
  <c r="D30" i="4"/>
  <c r="O30" i="4" s="1"/>
  <c r="N29" i="4"/>
  <c r="L29" i="4"/>
  <c r="J29" i="4"/>
  <c r="H29" i="4"/>
  <c r="F29" i="4"/>
  <c r="D29" i="4"/>
  <c r="O29" i="4" s="1"/>
  <c r="N28" i="4"/>
  <c r="L28" i="4"/>
  <c r="J28" i="4"/>
  <c r="H28" i="4"/>
  <c r="F28" i="4"/>
  <c r="D28" i="4"/>
  <c r="O28" i="4" s="1"/>
  <c r="N27" i="4"/>
  <c r="L27" i="4"/>
  <c r="J27" i="4"/>
  <c r="H27" i="4"/>
  <c r="F27" i="4"/>
  <c r="D27" i="4"/>
  <c r="O27" i="4" s="1"/>
  <c r="N26" i="4"/>
  <c r="L26" i="4"/>
  <c r="J26" i="4"/>
  <c r="H26" i="4"/>
  <c r="F26" i="4"/>
  <c r="D26" i="4"/>
  <c r="O26" i="4" s="1"/>
  <c r="N25" i="4"/>
  <c r="L25" i="4"/>
  <c r="J25" i="4"/>
  <c r="H25" i="4"/>
  <c r="F25" i="4"/>
  <c r="D25" i="4"/>
  <c r="O25" i="4" s="1"/>
  <c r="N24" i="4"/>
  <c r="L24" i="4"/>
  <c r="J24" i="4"/>
  <c r="H24" i="4"/>
  <c r="F24" i="4"/>
  <c r="D24" i="4"/>
  <c r="O24" i="4" s="1"/>
  <c r="N23" i="4"/>
  <c r="L23" i="4"/>
  <c r="J23" i="4"/>
  <c r="H23" i="4"/>
  <c r="F23" i="4"/>
  <c r="D23" i="4"/>
  <c r="N22" i="4"/>
  <c r="L22" i="4"/>
  <c r="J22" i="4"/>
  <c r="H22" i="4"/>
  <c r="F22" i="4"/>
  <c r="D22" i="4"/>
  <c r="O22" i="4" s="1"/>
  <c r="N21" i="4"/>
  <c r="L21" i="4"/>
  <c r="J21" i="4"/>
  <c r="H21" i="4"/>
  <c r="F21" i="4"/>
  <c r="D21" i="4"/>
  <c r="O21" i="4" s="1"/>
  <c r="N20" i="4"/>
  <c r="L20" i="4"/>
  <c r="J20" i="4"/>
  <c r="H20" i="4"/>
  <c r="F20" i="4"/>
  <c r="D20" i="4"/>
  <c r="O20" i="4" s="1"/>
  <c r="N19" i="4"/>
  <c r="L19" i="4"/>
  <c r="J19" i="4"/>
  <c r="H19" i="4"/>
  <c r="F19" i="4"/>
  <c r="D19" i="4"/>
  <c r="O19" i="4" s="1"/>
  <c r="N18" i="4"/>
  <c r="L18" i="4"/>
  <c r="J18" i="4"/>
  <c r="H18" i="4"/>
  <c r="F18" i="4"/>
  <c r="D18" i="4"/>
  <c r="O18" i="4" s="1"/>
  <c r="N17" i="4"/>
  <c r="L17" i="4"/>
  <c r="J17" i="4"/>
  <c r="H17" i="4"/>
  <c r="F17" i="4"/>
  <c r="D17" i="4"/>
  <c r="N16" i="4"/>
  <c r="L16" i="4"/>
  <c r="J16" i="4"/>
  <c r="H16" i="4"/>
  <c r="F16" i="4"/>
  <c r="D16" i="4"/>
  <c r="O16" i="4" s="1"/>
  <c r="N15" i="4"/>
  <c r="L15" i="4"/>
  <c r="J15" i="4"/>
  <c r="H15" i="4"/>
  <c r="F15" i="4"/>
  <c r="D15" i="4"/>
  <c r="O15" i="4" s="1"/>
  <c r="N14" i="4"/>
  <c r="L14" i="4"/>
  <c r="J14" i="4"/>
  <c r="H14" i="4"/>
  <c r="F14" i="4"/>
  <c r="D14" i="4"/>
  <c r="O14" i="4" s="1"/>
  <c r="N13" i="4"/>
  <c r="L13" i="4"/>
  <c r="J13" i="4"/>
  <c r="H13" i="4"/>
  <c r="F13" i="4"/>
  <c r="D13" i="4"/>
  <c r="N12" i="4"/>
  <c r="L12" i="4"/>
  <c r="J12" i="4"/>
  <c r="H12" i="4"/>
  <c r="F12" i="4"/>
  <c r="D12" i="4"/>
  <c r="N11" i="4"/>
  <c r="L11" i="4"/>
  <c r="J11" i="4"/>
  <c r="H11" i="4"/>
  <c r="F11" i="4"/>
  <c r="D11" i="4"/>
  <c r="N10" i="4"/>
  <c r="L10" i="4"/>
  <c r="J10" i="4"/>
  <c r="H10" i="4"/>
  <c r="F10" i="4"/>
  <c r="D10" i="4"/>
  <c r="O10" i="4" s="1"/>
  <c r="N9" i="4"/>
  <c r="L9" i="4"/>
  <c r="J9" i="4"/>
  <c r="H9" i="4"/>
  <c r="F9" i="4"/>
  <c r="D9" i="4"/>
  <c r="O9" i="4" s="1"/>
  <c r="N8" i="4"/>
  <c r="L8" i="4"/>
  <c r="J8" i="4"/>
  <c r="H8" i="4"/>
  <c r="F8" i="4"/>
  <c r="D8" i="4"/>
  <c r="O8" i="4" s="1"/>
  <c r="N7" i="4"/>
  <c r="L7" i="4"/>
  <c r="J7" i="4"/>
  <c r="H7" i="4"/>
  <c r="F7" i="4"/>
  <c r="D7" i="4"/>
  <c r="N6" i="4"/>
  <c r="L6" i="4"/>
  <c r="J6" i="4"/>
  <c r="H6" i="4"/>
  <c r="F6" i="4"/>
  <c r="D6" i="4"/>
  <c r="O6" i="4" s="1"/>
  <c r="N5" i="4"/>
  <c r="L5" i="4"/>
  <c r="J5" i="4"/>
  <c r="H5" i="4"/>
  <c r="F5" i="4"/>
  <c r="D5" i="4"/>
  <c r="N4" i="4"/>
  <c r="L4" i="4"/>
  <c r="J4" i="4"/>
  <c r="H4" i="4"/>
  <c r="F4" i="4"/>
  <c r="D4" i="4"/>
  <c r="O12" i="4" l="1"/>
  <c r="O4" i="4"/>
  <c r="O31" i="4"/>
  <c r="O23" i="4"/>
  <c r="O17" i="4"/>
  <c r="O11" i="4"/>
  <c r="O5" i="4"/>
  <c r="O13" i="4"/>
  <c r="O7" i="4"/>
  <c r="B6" i="5" l="1"/>
  <c r="B7" i="5"/>
  <c r="B10" i="5"/>
  <c r="B16" i="5"/>
  <c r="B25" i="5"/>
  <c r="C3" i="5"/>
  <c r="D3" i="5" s="1"/>
  <c r="B12" i="5"/>
  <c r="B4" i="5"/>
  <c r="C14" i="5"/>
  <c r="D14" i="5" s="1"/>
  <c r="C22" i="5"/>
  <c r="D22" i="5" s="1"/>
  <c r="C23" i="5"/>
  <c r="D23" i="5" s="1"/>
  <c r="C24" i="5"/>
  <c r="D24" i="5" s="1"/>
  <c r="B26" i="5"/>
  <c r="B29" i="5"/>
  <c r="C5" i="5"/>
  <c r="D5" i="5" s="1"/>
  <c r="C4" i="5"/>
  <c r="D4" i="5" s="1"/>
  <c r="B9" i="5"/>
  <c r="B15" i="5"/>
  <c r="C16" i="5"/>
  <c r="D16" i="5" s="1"/>
  <c r="B17" i="5"/>
  <c r="C17" i="5"/>
  <c r="D17" i="5" s="1"/>
  <c r="C18" i="5"/>
  <c r="D18" i="5" s="1"/>
  <c r="B19" i="5"/>
  <c r="C32" i="5"/>
  <c r="D32" i="5" s="1"/>
  <c r="B5" i="5"/>
  <c r="C10" i="5"/>
  <c r="D10" i="5" s="1"/>
  <c r="B14" i="5"/>
  <c r="B20" i="5"/>
  <c r="C26" i="5"/>
  <c r="D26" i="5" s="1"/>
  <c r="B22" i="5"/>
  <c r="B27" i="5"/>
  <c r="C31" i="5"/>
  <c r="D31" i="5" s="1"/>
  <c r="C8" i="5"/>
  <c r="D8" i="5" s="1"/>
  <c r="B11" i="5"/>
  <c r="C15" i="5"/>
  <c r="D15" i="5" s="1"/>
  <c r="C20" i="5"/>
  <c r="D20" i="5" s="1"/>
  <c r="B23" i="5"/>
  <c r="B24" i="5"/>
  <c r="C25" i="5"/>
  <c r="D25" i="5" s="1"/>
  <c r="B31" i="5"/>
  <c r="B3" i="5"/>
  <c r="C7" i="5"/>
  <c r="D7" i="5" s="1"/>
  <c r="C9" i="5"/>
  <c r="D9" i="5" s="1"/>
  <c r="C13" i="5"/>
  <c r="D13" i="5" s="1"/>
  <c r="C19" i="5"/>
  <c r="D19" i="5" s="1"/>
  <c r="C21" i="5"/>
  <c r="D21" i="5" s="1"/>
  <c r="C30" i="5"/>
  <c r="D30" i="5" s="1"/>
  <c r="C12" i="5"/>
  <c r="D12" i="5" s="1"/>
  <c r="B30" i="5"/>
  <c r="C29" i="5"/>
  <c r="D29" i="5" s="1"/>
  <c r="B21" i="5"/>
  <c r="C28" i="5"/>
  <c r="D28" i="5" s="1"/>
  <c r="C6" i="5"/>
  <c r="D6" i="5" s="1"/>
  <c r="B18" i="5"/>
  <c r="B8" i="5"/>
  <c r="B32" i="5"/>
  <c r="B13" i="5"/>
  <c r="B28" i="5"/>
  <c r="C11" i="5"/>
  <c r="D11" i="5" s="1"/>
  <c r="C27" i="5"/>
  <c r="D27" i="5" s="1"/>
</calcChain>
</file>

<file path=xl/sharedStrings.xml><?xml version="1.0" encoding="utf-8"?>
<sst xmlns="http://schemas.openxmlformats.org/spreadsheetml/2006/main" count="276" uniqueCount="192">
  <si>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</si>
  <si>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</si>
  <si>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</si>
  <si>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</si>
  <si>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</si>
  <si>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</si>
  <si>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Norfolk Stakes
(14:30)</t>
  </si>
  <si>
    <t>King George V
(15:05)</t>
  </si>
  <si>
    <t>Ribblesdale Stakes
(15:40)</t>
  </si>
  <si>
    <t>Gold Cup
(16:20)</t>
  </si>
  <si>
    <t>Britannia Stakes
(17:00)</t>
  </si>
  <si>
    <t>Hampton Court
(17:35)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</si>
  <si>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</si>
  <si>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</si>
  <si>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</si>
  <si>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</si>
  <si>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</si>
  <si>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</si>
  <si>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</si>
  <si>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</si>
  <si>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</si>
  <si>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</si>
  <si>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</si>
  <si>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</si>
  <si>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Norfolk Stakes Pick</t>
  </si>
  <si>
    <t>Pts</t>
  </si>
  <si>
    <t>King George V Pick</t>
  </si>
  <si>
    <t>Ribblesdale Stakes Pick</t>
  </si>
  <si>
    <t>Gold Cup Pick</t>
  </si>
  <si>
    <t>Britannia Stakes Pick</t>
  </si>
  <si>
    <t>Hampton Court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</si>
  <si>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</si>
  <si>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</si>
  <si>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</si>
  <si>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</si>
  <si>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</si>
  <si>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</si>
  <si>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</si>
  <si>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</si>
  <si>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</si>
  <si>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</si>
  <si>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</si>
  <si>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</si>
  <si>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</si>
  <si>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</si>
  <si>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</si>
  <si>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</si>
  <si>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</si>
  <si>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</si>
  <si>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</si>
  <si>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</si>
  <si>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</si>
  <si>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</si>
  <si>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</si>
  <si>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</si>
  <si>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</si>
  <si>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</si>
  <si>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</si>
  <si>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</si>
  <si>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</si>
  <si>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</si>
  <si>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</si>
  <si>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</si>
  <si>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</si>
  <si>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</si>
  <si>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</si>
  <si>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</si>
  <si>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</si>
  <si>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</si>
  <si>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</si>
  <si>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</si>
  <si>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</si>
  <si>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Sophie Mitchel</t>
  </si>
  <si>
    <t>Charlotte Hayes</t>
  </si>
  <si>
    <t>Rebecca Thompson</t>
  </si>
  <si>
    <t>Emma Whitfield</t>
  </si>
  <si>
    <t>Lauren Davies</t>
  </si>
  <si>
    <t>Victoria Chen</t>
  </si>
  <si>
    <t>Hannah Porter</t>
  </si>
  <si>
    <t>Priya Sharma</t>
  </si>
  <si>
    <t>Kate Anderson</t>
  </si>
  <si>
    <t>Zara Hussain</t>
  </si>
  <si>
    <t>Fiona Gallagher</t>
  </si>
  <si>
    <t>Natasha Burke</t>
  </si>
  <si>
    <t>Amelia Foster</t>
  </si>
  <si>
    <t>Grace Liu</t>
  </si>
  <si>
    <t>Olivia Chambers</t>
  </si>
  <si>
    <t>Isla McKenzie</t>
  </si>
  <si>
    <t>Jessica Dunn</t>
  </si>
  <si>
    <t>Rachel Okonkwo</t>
  </si>
  <si>
    <t>Megan Taylor</t>
  </si>
  <si>
    <t>Lucy Brennan</t>
  </si>
  <si>
    <t>Danielle Frost</t>
  </si>
  <si>
    <t>Sarah Patel</t>
  </si>
  <si>
    <t>Chloe Reeves</t>
  </si>
  <si>
    <t>Amy Richardson</t>
  </si>
  <si>
    <t>Gemma Scott</t>
  </si>
  <si>
    <t>Joanna Walsh</t>
  </si>
  <si>
    <t>Beth Sinclair</t>
  </si>
  <si>
    <t>Rosie O'Brian</t>
  </si>
  <si>
    <t>Nina Kovacs</t>
  </si>
  <si>
    <t>Poppy Hawkins</t>
  </si>
  <si>
    <t>Blue Thunder</t>
  </si>
  <si>
    <t>Candy Floss</t>
  </si>
  <si>
    <t>Desert Flame</t>
  </si>
  <si>
    <t>Golden Arrow</t>
  </si>
  <si>
    <t>Havana Nights</t>
  </si>
  <si>
    <t>Iron Duke</t>
  </si>
  <si>
    <t>Jubilee King</t>
  </si>
  <si>
    <t>Keeper's Gold</t>
  </si>
  <si>
    <t>Lucky Charm</t>
  </si>
  <si>
    <t>Midnight Sun</t>
  </si>
  <si>
    <t>Noble Spirit</t>
  </si>
  <si>
    <t>Ocean Breeze</t>
  </si>
  <si>
    <t>Prince Valiant</t>
  </si>
  <si>
    <t>Quick Silver</t>
  </si>
  <si>
    <t>Alchemy</t>
  </si>
  <si>
    <t>Bronze Age</t>
  </si>
  <si>
    <t>Castle Rock</t>
  </si>
  <si>
    <t>Darjeeling</t>
  </si>
  <si>
    <t>Emerald Isle</t>
  </si>
  <si>
    <t>Flying Fox</t>
  </si>
  <si>
    <t>Great Escape</t>
  </si>
  <si>
    <t>Highland Reel</t>
  </si>
  <si>
    <t>Imperial March</t>
  </si>
  <si>
    <t>Java Star</t>
  </si>
  <si>
    <t>King's Counsel</t>
  </si>
  <si>
    <t>Lucky Penny</t>
  </si>
  <si>
    <t>Moonlight Bay</t>
  </si>
  <si>
    <t>Nightfall</t>
  </si>
  <si>
    <t>Outlaw</t>
  </si>
  <si>
    <t>Pharoah's Dream</t>
  </si>
  <si>
    <t>Royal Salute</t>
  </si>
  <si>
    <t>Silver Lining</t>
  </si>
  <si>
    <t>Aurora Princess</t>
  </si>
  <si>
    <t>Bella Donna</t>
  </si>
  <si>
    <t>Cherry Blossom</t>
  </si>
  <si>
    <t>Diamond Tiara</t>
  </si>
  <si>
    <t>Enchanted Eve</t>
  </si>
  <si>
    <t>Fairy Queen</t>
  </si>
  <si>
    <t>Golden Lily</t>
  </si>
  <si>
    <t>Honeysuckle</t>
  </si>
  <si>
    <t>Ivory Tower</t>
  </si>
  <si>
    <t>Jasmine Rose</t>
  </si>
  <si>
    <t>Battle Cry</t>
  </si>
  <si>
    <t>Conqueror</t>
  </si>
  <si>
    <t>Doyen</t>
  </si>
  <si>
    <t>Endurance</t>
  </si>
  <si>
    <t>Forever Young</t>
  </si>
  <si>
    <t>Gladiator</t>
  </si>
  <si>
    <t>Harbour Master</t>
  </si>
  <si>
    <t>Iron Will</t>
  </si>
  <si>
    <t>Journey's End</t>
  </si>
  <si>
    <t>Ace High</t>
  </si>
  <si>
    <t>Bright Spark</t>
  </si>
  <si>
    <t>Cool Hand</t>
  </si>
  <si>
    <t>Dapper Dan</t>
  </si>
  <si>
    <t>Eclipse</t>
  </si>
  <si>
    <t>First Light</t>
  </si>
  <si>
    <t>Golden Gate</t>
  </si>
  <si>
    <t>Hold The Line</t>
  </si>
  <si>
    <t>Ink Spot</t>
  </si>
  <si>
    <t>Jack Flash</t>
  </si>
  <si>
    <t>King Pin</t>
  </si>
  <si>
    <t>Lion Heart</t>
  </si>
  <si>
    <t>Major Tom</t>
  </si>
  <si>
    <t>Neptune</t>
  </si>
  <si>
    <t>Only Connect</t>
  </si>
  <si>
    <t>Pacemaker</t>
  </si>
  <si>
    <t>Quarter Back</t>
  </si>
  <si>
    <t>Red Alert</t>
  </si>
  <si>
    <t>Stargazer</t>
  </si>
  <si>
    <t>Top Gear</t>
  </si>
  <si>
    <t>Upper Hand</t>
  </si>
  <si>
    <t>Vendetta</t>
  </si>
  <si>
    <t>Wild Card</t>
  </si>
  <si>
    <t>Xenon</t>
  </si>
  <si>
    <t>Young Gun</t>
  </si>
  <si>
    <t>Zero Hour</t>
  </si>
  <si>
    <t>Avalanche</t>
  </si>
  <si>
    <t>Bellboy</t>
  </si>
  <si>
    <t>Ambassador</t>
  </si>
  <si>
    <t>Boulevard</t>
  </si>
  <si>
    <t>Cape Town</t>
  </si>
  <si>
    <t>Destiny's Call</t>
  </si>
  <si>
    <t>Everest</t>
  </si>
  <si>
    <t>Falcon Ridge</t>
  </si>
  <si>
    <t>Grand Master</t>
  </si>
  <si>
    <t>Hero's Welcome</t>
  </si>
  <si>
    <t>Icon</t>
  </si>
  <si>
    <t>Jetsetter</t>
  </si>
  <si>
    <t>Knight Rider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</si>
</sst>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Georgia"/>
      <charset val="1"/>
    </font>
    <font>
      <i/>
      <sz val="10"/>
      <color rgb="FF666666"/>
      <name val="Georgia"/>
      <charset val="1"/>
    </font>
    <font>
      <b/>
      <sz val="11"/>
      <color rgb="FF1B4332"/>
      <name val="Georgia"/>
      <charset val="1"/>
    </font>
    <font>
      <sz val="11"/>
      <color rgb="FF333333"/>
      <name val="Georgia"/>
      <charset val="1"/>
    </font>
    <font>
      <b/>
      <sz val="16"/>
      <color rgb="FFFFFFFF"/>
      <name val="Georgia"/>
      <charset val="1"/>
    </font>
    <font>
      <b/>
      <sz val="10"/>
      <color rgb="FF1B4332"/>
      <name val="Georgia"/>
      <charset val="1"/>
    </font>
    <font>
      <b/>
      <sz val="10"/>
      <color rgb="FFFFFFFF"/>
      <name val="Georgia"/>
      <charset val="1"/>
    </font>
    <font>
      <sz val="10"/>
      <color rgb="FF999999"/>
      <name val="Georgia"/>
      <charset val="1"/>
    </font>
    <font>
      <i/>
      <sz val="10"/>
      <color rgb="FFC9A84C"/>
      <name val="Georgia"/>
      <charset val="1"/>
    </font>
    <font>
      <b/>
      <sz val="11"/>
      <color rgb="FFC9A84C"/>
      <name val="Georgia"/>
      <charset val="1"/>
    </font>
    <font>
      <i/>
      <sz val="10"/>
      <color rgb="FF999999"/>
      <name val="Georgia"/>
      <charset val="1"/>
    </font>
    <font>
      <b/>
      <sz val="9"/>
      <color rgb="FFFFFFFF"/>
      <name val="Georgia"/>
      <charset val="1"/>
    </font>
    <font>
      <b/>
      <sz val="12"/>
      <color rgb="FFFFFFFF"/>
      <name val="Georgia"/>
      <charset val="1"/>
    </font>
    <font>
      <b/>
      <sz val="18"/>
      <color rgb="FFFFFFFF"/>
      <name val="Georgia"/>
      <charset val="1"/>
    </font>
    <font>
      <b/>
      <sz val="12"/>
      <color rgb="FF1B4332"/>
      <name val="Georgia"/>
      <charset val="1"/>
    </font>
    <font>
      <sz val="12"/>
      <name val="Georgia"/>
      <charset val="1"/>
    </font>
    <font>
      <b/>
      <sz val="14"/>
      <color rgb="FF1B4332"/>
      <name val="Georgia"/>
      <charset val="1"/>
    </font>
    <font>
      <sz val="11"/>
      <name val="Georgia"/>
      <charset val="1"/>
    </font>
    <font>
      <b/>
      <sz val="13"/>
      <color rgb="FF1B4332"/>
      <name val="Georgia"/>
      <charset val="1"/>
    </font>
    <font>
      <b/>
      <sz val="13"/>
      <color rgb="FFC0392B"/>
      <name val="Georgia"/>
      <charset val="1"/>
    </font>
    <font>
      <sz val="11"/>
      <color rgb="FF333333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21" fillId="0" borderId="1" xfId="0" applyFont="1" applyBorder="1"/>
    <xf numFmtId="0" fontId="21" fillId="4" borderId="1" xfId="0" applyFont="1" applyFill="1" applyBorder="1"/>
    <xf numFmtId="0" fontId="21" fillId="6" borderId="1" xfId="0" applyFont="1" applyFill="1" applyBorder="1" applyAlignment="1">
      <alignment horizontal="left" vertical="center"/>
    </xf>
    <xf numFmtId="0" fontId="21" fillId="4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topLeftCell="A9" zoomScaleNormal="100" workbookViewId="0">
      <selection activeCell="B4" sqref="B4:B24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8" t="s">
        <v>0</v>
      </c>
      <c r="B1" s="38"/>
    </row>
    <row r="2" spans="1:2" x14ac:dyDescent="0.3">
      <c r="A2" s="39" t="s">
        <v>1</v>
      </c>
      <c r="B2" s="39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2" t="s">
        <v>72</v>
      </c>
    </row>
    <row r="5" spans="1:2" x14ac:dyDescent="0.3">
      <c r="A5" s="4">
        <v>2</v>
      </c>
      <c r="B5" s="33" t="s">
        <v>73</v>
      </c>
    </row>
    <row r="6" spans="1:2" x14ac:dyDescent="0.3">
      <c r="A6" s="2">
        <v>3</v>
      </c>
      <c r="B6" s="32" t="s">
        <v>74</v>
      </c>
    </row>
    <row r="7" spans="1:2" x14ac:dyDescent="0.3">
      <c r="A7" s="4">
        <v>4</v>
      </c>
      <c r="B7" s="33" t="s">
        <v>75</v>
      </c>
    </row>
    <row r="8" spans="1:2" x14ac:dyDescent="0.3">
      <c r="A8" s="2">
        <v>5</v>
      </c>
      <c r="B8" s="32" t="s">
        <v>76</v>
      </c>
    </row>
    <row r="9" spans="1:2" x14ac:dyDescent="0.3">
      <c r="A9" s="4">
        <v>6</v>
      </c>
      <c r="B9" s="33" t="s">
        <v>77</v>
      </c>
    </row>
    <row r="10" spans="1:2" x14ac:dyDescent="0.3">
      <c r="A10" s="2">
        <v>7</v>
      </c>
      <c r="B10" s="32" t="s">
        <v>78</v>
      </c>
    </row>
    <row r="11" spans="1:2" x14ac:dyDescent="0.3">
      <c r="A11" s="4">
        <v>8</v>
      </c>
      <c r="B11" s="33" t="s">
        <v>79</v>
      </c>
    </row>
    <row r="12" spans="1:2" x14ac:dyDescent="0.3">
      <c r="A12" s="2">
        <v>9</v>
      </c>
      <c r="B12" s="32" t="s">
        <v>80</v>
      </c>
    </row>
    <row r="13" spans="1:2" x14ac:dyDescent="0.3">
      <c r="A13" s="4">
        <v>10</v>
      </c>
      <c r="B13" s="33" t="s">
        <v>81</v>
      </c>
    </row>
    <row r="14" spans="1:2" x14ac:dyDescent="0.3">
      <c r="A14" s="2">
        <v>11</v>
      </c>
      <c r="B14" s="32" t="s">
        <v>82</v>
      </c>
    </row>
    <row r="15" spans="1:2" x14ac:dyDescent="0.3">
      <c r="A15" s="4">
        <v>12</v>
      </c>
      <c r="B15" s="33" t="s">
        <v>83</v>
      </c>
    </row>
    <row r="16" spans="1:2" x14ac:dyDescent="0.3">
      <c r="A16" s="2">
        <v>13</v>
      </c>
      <c r="B16" s="32" t="s">
        <v>84</v>
      </c>
    </row>
    <row r="17" spans="1:2" x14ac:dyDescent="0.3">
      <c r="A17" s="4">
        <v>14</v>
      </c>
      <c r="B17" s="33" t="s">
        <v>85</v>
      </c>
    </row>
    <row r="18" spans="1:2" x14ac:dyDescent="0.3">
      <c r="A18" s="2">
        <v>15</v>
      </c>
      <c r="B18" s="32" t="s">
        <v>86</v>
      </c>
    </row>
    <row r="19" spans="1:2" x14ac:dyDescent="0.3">
      <c r="A19" s="4">
        <v>16</v>
      </c>
      <c r="B19" s="33" t="s">
        <v>87</v>
      </c>
    </row>
    <row r="20" spans="1:2" x14ac:dyDescent="0.3">
      <c r="A20" s="2">
        <v>17</v>
      </c>
      <c r="B20" s="32" t="s">
        <v>88</v>
      </c>
    </row>
    <row r="21" spans="1:2" x14ac:dyDescent="0.3">
      <c r="A21" s="4">
        <v>18</v>
      </c>
      <c r="B21" s="33" t="s">
        <v>89</v>
      </c>
    </row>
    <row r="22" spans="1:2" x14ac:dyDescent="0.3">
      <c r="A22" s="2">
        <v>19</v>
      </c>
      <c r="B22" s="32" t="s">
        <v>90</v>
      </c>
    </row>
    <row r="23" spans="1:2" x14ac:dyDescent="0.3">
      <c r="A23" s="4">
        <v>20</v>
      </c>
      <c r="B23" s="33" t="s">
        <v>91</v>
      </c>
    </row>
    <row r="24" spans="1:2" x14ac:dyDescent="0.3">
      <c r="A24" s="2">
        <v>21</v>
      </c>
      <c r="B24" s="32" t="s">
        <v>92</v>
      </c>
    </row>
    <row r="25" spans="1:2" x14ac:dyDescent="0.3">
      <c r="A25" s="4">
        <v>22</v>
      </c>
      <c r="B25" s="33" t="s">
        <v>93</v>
      </c>
    </row>
    <row r="26" spans="1:2" x14ac:dyDescent="0.3">
      <c r="A26" s="2">
        <v>23</v>
      </c>
      <c r="B26" s="32" t="s">
        <v>94</v>
      </c>
    </row>
    <row r="27" spans="1:2" x14ac:dyDescent="0.3">
      <c r="A27" s="4">
        <v>24</v>
      </c>
      <c r="B27" s="33" t="s">
        <v>95</v>
      </c>
    </row>
    <row r="28" spans="1:2" x14ac:dyDescent="0.3">
      <c r="A28" s="2">
        <v>25</v>
      </c>
      <c r="B28" s="32" t="s">
        <v>96</v>
      </c>
    </row>
    <row r="29" spans="1:2" x14ac:dyDescent="0.3">
      <c r="A29" s="4">
        <v>26</v>
      </c>
      <c r="B29" s="33" t="s">
        <v>97</v>
      </c>
    </row>
    <row r="30" spans="1:2" x14ac:dyDescent="0.3">
      <c r="A30" s="2">
        <v>27</v>
      </c>
      <c r="B30" s="32" t="s">
        <v>98</v>
      </c>
    </row>
    <row r="31" spans="1:2" x14ac:dyDescent="0.3">
      <c r="A31" s="4">
        <v>28</v>
      </c>
      <c r="B31" s="33" t="s">
        <v>99</v>
      </c>
    </row>
    <row r="32" spans="1:2" x14ac:dyDescent="0.3">
      <c r="A32" s="2">
        <v>29</v>
      </c>
      <c r="B32" s="32" t="s">
        <v>100</v>
      </c>
    </row>
    <row r="33" spans="1:2" x14ac:dyDescent="0.3">
      <c r="A33" s="4">
        <v>30</v>
      </c>
      <c r="B33" s="33" t="s">
        <v>101</v>
      </c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G33"/>
  <sheetViews>
    <sheetView topLeftCell="D1" zoomScaleNormal="100" workbookViewId="0">
      <selection activeCell="G3" sqref="G3"/>
    </sheetView>
  </sheetViews>
  <sheetFormatPr defaultColWidth="8.6640625" defaultRowHeight="14.4" x14ac:dyDescent="0.3"/>
  <cols>
    <col min="1" max="1" width="5" customWidth="1"/>
    <col min="2" max="7" width="25" customWidth="1"/>
  </cols>
  <sheetData>
    <row r="1" spans="1:7" ht="20.100000000000001" customHeight="1" x14ac:dyDescent="0.3">
      <c r="A1" s="36" t="s">
        <v>4</v>
      </c>
      <c r="B1" s="36"/>
      <c r="C1" s="36"/>
      <c r="D1" s="36"/>
      <c r="E1" s="36"/>
      <c r="F1" s="36"/>
      <c r="G1" s="36"/>
    </row>
    <row r="2" spans="1:7" ht="30" customHeight="1" x14ac:dyDescent="0.3">
      <c r="A2" s="37" t="s">
        <v>5</v>
      </c>
      <c r="B2" s="37"/>
      <c r="C2" s="37"/>
      <c r="D2" s="37"/>
      <c r="E2" s="37"/>
      <c r="F2" s="37"/>
      <c r="G2" s="37"/>
    </row>
    <row r="3" spans="1:7" ht="34.5" customHeight="1" x14ac:dyDescent="0.3">
      <c r="A3" s="6" t="s">
        <v>2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</row>
    <row r="4" spans="1:7" x14ac:dyDescent="0.3">
      <c r="A4" s="8">
        <v>1</v>
      </c>
      <c r="B4" s="34" t="s">
        <v>102</v>
      </c>
      <c r="C4" s="34" t="s">
        <v>116</v>
      </c>
      <c r="D4" s="34" t="s">
        <v>134</v>
      </c>
      <c r="E4" s="34" t="s">
        <v>144</v>
      </c>
      <c r="F4" s="34" t="s">
        <v>153</v>
      </c>
      <c r="G4" s="34" t="s">
        <v>181</v>
      </c>
    </row>
    <row r="5" spans="1:7" x14ac:dyDescent="0.3">
      <c r="A5" s="10">
        <v>2</v>
      </c>
      <c r="B5" s="35" t="s">
        <v>103</v>
      </c>
      <c r="C5" s="35" t="s">
        <v>117</v>
      </c>
      <c r="D5" s="35" t="s">
        <v>135</v>
      </c>
      <c r="E5" s="35" t="s">
        <v>145</v>
      </c>
      <c r="F5" s="35" t="s">
        <v>154</v>
      </c>
      <c r="G5" s="35" t="s">
        <v>182</v>
      </c>
    </row>
    <row r="6" spans="1:7" x14ac:dyDescent="0.3">
      <c r="A6" s="8">
        <v>3</v>
      </c>
      <c r="B6" s="34" t="s">
        <v>104</v>
      </c>
      <c r="C6" s="34" t="s">
        <v>118</v>
      </c>
      <c r="D6" s="34" t="s">
        <v>136</v>
      </c>
      <c r="E6" s="34" t="s">
        <v>146</v>
      </c>
      <c r="F6" s="34" t="s">
        <v>155</v>
      </c>
      <c r="G6" s="34" t="s">
        <v>183</v>
      </c>
    </row>
    <row r="7" spans="1:7" x14ac:dyDescent="0.3">
      <c r="A7" s="10">
        <v>4</v>
      </c>
      <c r="B7" s="35" t="s">
        <v>105</v>
      </c>
      <c r="C7" s="35" t="s">
        <v>119</v>
      </c>
      <c r="D7" s="35" t="s">
        <v>137</v>
      </c>
      <c r="E7" s="35" t="s">
        <v>147</v>
      </c>
      <c r="F7" s="35" t="s">
        <v>156</v>
      </c>
      <c r="G7" s="35" t="s">
        <v>184</v>
      </c>
    </row>
    <row r="8" spans="1:7" x14ac:dyDescent="0.3">
      <c r="A8" s="8">
        <v>5</v>
      </c>
      <c r="B8" s="34" t="s">
        <v>106</v>
      </c>
      <c r="C8" s="34" t="s">
        <v>120</v>
      </c>
      <c r="D8" s="34" t="s">
        <v>138</v>
      </c>
      <c r="E8" s="34" t="s">
        <v>148</v>
      </c>
      <c r="F8" s="34" t="s">
        <v>157</v>
      </c>
      <c r="G8" s="34" t="s">
        <v>185</v>
      </c>
    </row>
    <row r="9" spans="1:7" x14ac:dyDescent="0.3">
      <c r="A9" s="10">
        <v>6</v>
      </c>
      <c r="B9" s="35" t="s">
        <v>107</v>
      </c>
      <c r="C9" s="35" t="s">
        <v>121</v>
      </c>
      <c r="D9" s="35" t="s">
        <v>139</v>
      </c>
      <c r="E9" s="35" t="s">
        <v>149</v>
      </c>
      <c r="F9" s="35" t="s">
        <v>158</v>
      </c>
      <c r="G9" s="35" t="s">
        <v>186</v>
      </c>
    </row>
    <row r="10" spans="1:7" x14ac:dyDescent="0.3">
      <c r="A10" s="8">
        <v>7</v>
      </c>
      <c r="B10" s="34" t="s">
        <v>108</v>
      </c>
      <c r="C10" s="34" t="s">
        <v>122</v>
      </c>
      <c r="D10" s="34" t="s">
        <v>140</v>
      </c>
      <c r="E10" s="34" t="s">
        <v>150</v>
      </c>
      <c r="F10" s="34" t="s">
        <v>159</v>
      </c>
      <c r="G10" s="34" t="s">
        <v>187</v>
      </c>
    </row>
    <row r="11" spans="1:7" x14ac:dyDescent="0.3">
      <c r="A11" s="10">
        <v>8</v>
      </c>
      <c r="B11" s="35" t="s">
        <v>109</v>
      </c>
      <c r="C11" s="35" t="s">
        <v>123</v>
      </c>
      <c r="D11" s="35" t="s">
        <v>141</v>
      </c>
      <c r="E11" s="35" t="s">
        <v>151</v>
      </c>
      <c r="F11" s="35" t="s">
        <v>160</v>
      </c>
      <c r="G11" s="35" t="s">
        <v>188</v>
      </c>
    </row>
    <row r="12" spans="1:7" x14ac:dyDescent="0.3">
      <c r="A12" s="8">
        <v>9</v>
      </c>
      <c r="B12" s="34" t="s">
        <v>110</v>
      </c>
      <c r="C12" s="34" t="s">
        <v>124</v>
      </c>
      <c r="D12" s="34" t="s">
        <v>142</v>
      </c>
      <c r="E12" s="34" t="s">
        <v>152</v>
      </c>
      <c r="F12" s="34" t="s">
        <v>161</v>
      </c>
      <c r="G12" s="34" t="s">
        <v>189</v>
      </c>
    </row>
    <row r="13" spans="1:7" x14ac:dyDescent="0.3">
      <c r="A13" s="10">
        <v>10</v>
      </c>
      <c r="B13" s="35" t="s">
        <v>111</v>
      </c>
      <c r="C13" s="35" t="s">
        <v>125</v>
      </c>
      <c r="D13" s="35" t="s">
        <v>143</v>
      </c>
      <c r="E13" s="11"/>
      <c r="F13" s="35" t="s">
        <v>162</v>
      </c>
      <c r="G13" s="35" t="s">
        <v>190</v>
      </c>
    </row>
    <row r="14" spans="1:7" x14ac:dyDescent="0.3">
      <c r="A14" s="8">
        <v>11</v>
      </c>
      <c r="B14" s="34" t="s">
        <v>112</v>
      </c>
      <c r="C14" s="34" t="s">
        <v>126</v>
      </c>
      <c r="D14" s="9"/>
      <c r="E14" s="9"/>
      <c r="F14" s="34" t="s">
        <v>163</v>
      </c>
      <c r="G14" s="34" t="s">
        <v>191</v>
      </c>
    </row>
    <row r="15" spans="1:7" x14ac:dyDescent="0.3">
      <c r="A15" s="10">
        <v>12</v>
      </c>
      <c r="B15" s="35" t="s">
        <v>113</v>
      </c>
      <c r="C15" s="35" t="s">
        <v>127</v>
      </c>
      <c r="D15" s="11"/>
      <c r="E15" s="11"/>
      <c r="F15" s="35" t="s">
        <v>164</v>
      </c>
      <c r="G15" s="11"/>
    </row>
    <row r="16" spans="1:7" x14ac:dyDescent="0.3">
      <c r="A16" s="8">
        <v>13</v>
      </c>
      <c r="B16" s="34" t="s">
        <v>114</v>
      </c>
      <c r="C16" s="34" t="s">
        <v>128</v>
      </c>
      <c r="D16" s="9"/>
      <c r="E16" s="9"/>
      <c r="F16" s="34" t="s">
        <v>165</v>
      </c>
      <c r="G16" s="9"/>
    </row>
    <row r="17" spans="1:7" x14ac:dyDescent="0.3">
      <c r="A17" s="10">
        <v>14</v>
      </c>
      <c r="B17" s="35" t="s">
        <v>115</v>
      </c>
      <c r="C17" s="35" t="s">
        <v>129</v>
      </c>
      <c r="D17" s="11"/>
      <c r="E17" s="11"/>
      <c r="F17" s="35" t="s">
        <v>166</v>
      </c>
      <c r="G17" s="11"/>
    </row>
    <row r="18" spans="1:7" x14ac:dyDescent="0.3">
      <c r="A18" s="8">
        <v>15</v>
      </c>
      <c r="B18" s="9"/>
      <c r="C18" s="34" t="s">
        <v>130</v>
      </c>
      <c r="D18" s="9"/>
      <c r="E18" s="9"/>
      <c r="F18" s="34" t="s">
        <v>167</v>
      </c>
      <c r="G18" s="9"/>
    </row>
    <row r="19" spans="1:7" x14ac:dyDescent="0.3">
      <c r="A19" s="10">
        <v>16</v>
      </c>
      <c r="B19" s="11"/>
      <c r="C19" s="35" t="s">
        <v>131</v>
      </c>
      <c r="D19" s="11"/>
      <c r="E19" s="11"/>
      <c r="F19" s="35" t="s">
        <v>168</v>
      </c>
      <c r="G19" s="11"/>
    </row>
    <row r="20" spans="1:7" x14ac:dyDescent="0.3">
      <c r="A20" s="8">
        <v>17</v>
      </c>
      <c r="B20" s="9"/>
      <c r="C20" s="34" t="s">
        <v>132</v>
      </c>
      <c r="D20" s="9"/>
      <c r="E20" s="9"/>
      <c r="F20" s="34" t="s">
        <v>169</v>
      </c>
      <c r="G20" s="9"/>
    </row>
    <row r="21" spans="1:7" x14ac:dyDescent="0.3">
      <c r="A21" s="10">
        <v>18</v>
      </c>
      <c r="B21" s="11"/>
      <c r="C21" s="35" t="s">
        <v>133</v>
      </c>
      <c r="D21" s="11"/>
      <c r="E21" s="11"/>
      <c r="F21" s="35" t="s">
        <v>170</v>
      </c>
      <c r="G21" s="11"/>
    </row>
    <row r="22" spans="1:7" x14ac:dyDescent="0.3">
      <c r="A22" s="8">
        <v>19</v>
      </c>
      <c r="B22" s="9"/>
      <c r="C22" s="9"/>
      <c r="D22" s="9"/>
      <c r="E22" s="9"/>
      <c r="F22" s="34" t="s">
        <v>171</v>
      </c>
      <c r="G22" s="9"/>
    </row>
    <row r="23" spans="1:7" x14ac:dyDescent="0.3">
      <c r="A23" s="10">
        <v>20</v>
      </c>
      <c r="B23" s="11"/>
      <c r="C23" s="11"/>
      <c r="D23" s="11"/>
      <c r="E23" s="11"/>
      <c r="F23" s="35" t="s">
        <v>172</v>
      </c>
      <c r="G23" s="11"/>
    </row>
    <row r="24" spans="1:7" x14ac:dyDescent="0.3">
      <c r="A24" s="8">
        <v>21</v>
      </c>
      <c r="B24" s="9"/>
      <c r="C24" s="9"/>
      <c r="D24" s="9"/>
      <c r="E24" s="9"/>
      <c r="F24" s="34" t="s">
        <v>173</v>
      </c>
      <c r="G24" s="9"/>
    </row>
    <row r="25" spans="1:7" x14ac:dyDescent="0.3">
      <c r="A25" s="10">
        <v>22</v>
      </c>
      <c r="B25" s="11"/>
      <c r="C25" s="11"/>
      <c r="D25" s="11"/>
      <c r="E25" s="11"/>
      <c r="F25" s="35" t="s">
        <v>174</v>
      </c>
      <c r="G25" s="11"/>
    </row>
    <row r="26" spans="1:7" x14ac:dyDescent="0.3">
      <c r="A26" s="8">
        <v>23</v>
      </c>
      <c r="B26" s="9"/>
      <c r="C26" s="9"/>
      <c r="D26" s="9"/>
      <c r="E26" s="9"/>
      <c r="F26" s="34" t="s">
        <v>175</v>
      </c>
      <c r="G26" s="9"/>
    </row>
    <row r="27" spans="1:7" x14ac:dyDescent="0.3">
      <c r="A27" s="10">
        <v>24</v>
      </c>
      <c r="B27" s="11"/>
      <c r="C27" s="11"/>
      <c r="D27" s="11"/>
      <c r="E27" s="11"/>
      <c r="F27" s="35" t="s">
        <v>176</v>
      </c>
      <c r="G27" s="11"/>
    </row>
    <row r="28" spans="1:7" x14ac:dyDescent="0.3">
      <c r="A28" s="8">
        <v>25</v>
      </c>
      <c r="B28" s="9"/>
      <c r="C28" s="9"/>
      <c r="D28" s="9"/>
      <c r="E28" s="9"/>
      <c r="F28" s="34" t="s">
        <v>177</v>
      </c>
      <c r="G28" s="9"/>
    </row>
    <row r="29" spans="1:7" x14ac:dyDescent="0.3">
      <c r="A29" s="10">
        <v>26</v>
      </c>
      <c r="B29" s="11"/>
      <c r="C29" s="11"/>
      <c r="D29" s="11"/>
      <c r="E29" s="11"/>
      <c r="F29" s="35" t="s">
        <v>178</v>
      </c>
      <c r="G29" s="11"/>
    </row>
    <row r="30" spans="1:7" x14ac:dyDescent="0.3">
      <c r="A30" s="8">
        <v>27</v>
      </c>
      <c r="B30" s="9"/>
      <c r="C30" s="9"/>
      <c r="D30" s="9"/>
      <c r="E30" s="9"/>
      <c r="F30" s="34" t="s">
        <v>179</v>
      </c>
      <c r="G30" s="9"/>
    </row>
    <row r="31" spans="1:7" x14ac:dyDescent="0.3">
      <c r="A31" s="10">
        <v>28</v>
      </c>
      <c r="B31" s="11"/>
      <c r="C31" s="11"/>
      <c r="D31" s="11"/>
      <c r="E31" s="11"/>
      <c r="F31" s="35" t="s">
        <v>180</v>
      </c>
      <c r="G31" s="11"/>
    </row>
    <row r="32" spans="1:7" x14ac:dyDescent="0.3">
      <c r="A32" s="8">
        <v>29</v>
      </c>
      <c r="B32" s="9"/>
      <c r="C32" s="9"/>
      <c r="D32" s="9"/>
      <c r="E32" s="9"/>
      <c r="F32" s="9"/>
      <c r="G32" s="9"/>
    </row>
    <row r="33" spans="1:7" x14ac:dyDescent="0.3">
      <c r="A33" s="10">
        <v>30</v>
      </c>
      <c r="B33" s="11"/>
      <c r="C33" s="11"/>
      <c r="D33" s="11"/>
      <c r="E33" s="11"/>
      <c r="F33" s="11"/>
      <c r="G33" s="11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D7" sqref="D7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6" t="s">
        <v>12</v>
      </c>
      <c r="B1" s="36"/>
      <c r="C1" s="36"/>
      <c r="D1" s="36"/>
      <c r="E1" s="36"/>
      <c r="F1" s="36"/>
      <c r="G1" s="36"/>
    </row>
    <row r="2" spans="1:7" ht="15" customHeight="1" x14ac:dyDescent="0.3">
      <c r="A2" s="40" t="s">
        <v>13</v>
      </c>
      <c r="B2" s="40"/>
      <c r="C2" s="40"/>
      <c r="D2" s="40"/>
      <c r="E2" s="40"/>
      <c r="F2" s="40"/>
      <c r="G2" s="40"/>
    </row>
    <row r="3" spans="1:7" ht="24.75" customHeight="1" x14ac:dyDescent="0.3">
      <c r="A3" s="12" t="s">
        <v>14</v>
      </c>
      <c r="B3" s="12" t="s">
        <v>15</v>
      </c>
      <c r="C3" s="12" t="s">
        <v>16</v>
      </c>
      <c r="D3" s="12" t="s">
        <v>17</v>
      </c>
      <c r="E3" s="12" t="s">
        <v>18</v>
      </c>
      <c r="F3" s="12" t="s">
        <v>19</v>
      </c>
      <c r="G3" s="12" t="s">
        <v>20</v>
      </c>
    </row>
    <row r="4" spans="1:7" ht="30" customHeight="1" x14ac:dyDescent="0.3">
      <c r="A4" s="6" t="s">
        <v>6</v>
      </c>
      <c r="B4" s="4" t="s">
        <v>102</v>
      </c>
      <c r="C4" s="4" t="s">
        <v>105</v>
      </c>
      <c r="D4" s="4" t="s">
        <v>109</v>
      </c>
      <c r="E4" s="4" t="s">
        <v>107</v>
      </c>
      <c r="F4" s="4" t="s">
        <v>103</v>
      </c>
      <c r="G4" s="4" t="s">
        <v>110</v>
      </c>
    </row>
    <row r="5" spans="1:7" ht="30" customHeight="1" x14ac:dyDescent="0.3">
      <c r="A5" s="6" t="s">
        <v>7</v>
      </c>
      <c r="B5" s="4" t="s">
        <v>126</v>
      </c>
      <c r="C5" s="4"/>
      <c r="D5" s="4"/>
      <c r="E5" s="4"/>
      <c r="F5" s="4"/>
      <c r="G5" s="4"/>
    </row>
    <row r="6" spans="1:7" ht="30" customHeight="1" x14ac:dyDescent="0.3">
      <c r="A6" s="6" t="s">
        <v>8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10</v>
      </c>
      <c r="B8" s="4"/>
      <c r="C8" s="4"/>
      <c r="D8" s="4"/>
      <c r="E8" s="4"/>
      <c r="F8" s="4"/>
      <c r="G8" s="4"/>
    </row>
    <row r="9" spans="1:7" ht="30" customHeight="1" x14ac:dyDescent="0.3">
      <c r="A9" s="6" t="s">
        <v>11</v>
      </c>
      <c r="B9" s="4"/>
      <c r="C9" s="4"/>
      <c r="D9" s="4"/>
      <c r="E9" s="4"/>
      <c r="F9" s="4"/>
      <c r="G9" s="4"/>
    </row>
    <row r="11" spans="1:7" x14ac:dyDescent="0.3">
      <c r="A11" s="41" t="s">
        <v>21</v>
      </c>
      <c r="B11" s="41"/>
      <c r="C11" s="41"/>
      <c r="D11" s="41"/>
      <c r="E11" s="41"/>
      <c r="F11" s="41"/>
      <c r="G11" s="41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Card'!$B$4:$B$33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Card'!$C$4:$C$33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Card'!$D$4:$D$33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Card'!$E$4:$E$33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Card'!$F$4:$F$33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Card'!$G$4:$G$33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O33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2" sqref="E12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16" customWidth="1"/>
    <col min="14" max="14" width="6" customWidth="1"/>
    <col min="15" max="15" width="8" customWidth="1"/>
  </cols>
  <sheetData>
    <row r="1" spans="1:15" ht="20.100000000000001" customHeight="1" x14ac:dyDescent="0.3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" customHeight="1" x14ac:dyDescent="0.3">
      <c r="A2" s="40" t="s">
        <v>23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2.8" x14ac:dyDescent="0.3">
      <c r="A3" s="13" t="s">
        <v>2</v>
      </c>
      <c r="B3" s="14" t="s">
        <v>3</v>
      </c>
      <c r="C3" s="14" t="s">
        <v>24</v>
      </c>
      <c r="D3" s="13" t="s">
        <v>25</v>
      </c>
      <c r="E3" s="14" t="s">
        <v>26</v>
      </c>
      <c r="F3" s="13" t="s">
        <v>25</v>
      </c>
      <c r="G3" s="14" t="s">
        <v>27</v>
      </c>
      <c r="H3" s="13" t="s">
        <v>25</v>
      </c>
      <c r="I3" s="14" t="s">
        <v>28</v>
      </c>
      <c r="J3" s="13" t="s">
        <v>25</v>
      </c>
      <c r="K3" s="14" t="s">
        <v>29</v>
      </c>
      <c r="L3" s="13" t="s">
        <v>25</v>
      </c>
      <c r="M3" s="14" t="s">
        <v>30</v>
      </c>
      <c r="N3" s="13" t="s">
        <v>25</v>
      </c>
      <c r="O3" s="13" t="s">
        <v>31</v>
      </c>
    </row>
    <row r="4" spans="1:15" ht="15.6" x14ac:dyDescent="0.3">
      <c r="A4" s="15">
        <v>1</v>
      </c>
      <c r="B4" s="32" t="s">
        <v>72</v>
      </c>
      <c r="C4" s="15" t="s">
        <v>102</v>
      </c>
      <c r="D4" s="16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 t="s">
        <v>126</v>
      </c>
      <c r="F4" s="16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10</v>
      </c>
      <c r="G4" s="15" t="s">
        <v>140</v>
      </c>
      <c r="H4" s="16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148</v>
      </c>
      <c r="J4" s="16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/>
      <c r="L4" s="16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5"/>
      <c r="N4" s="16" t="str">
        <f>IF(M4="","",IF(UPPER(M4)=UPPER('Race Results'!B9),10,IF(UPPER(M4)=UPPER('Race Results'!C9),6,IF(UPPER(M4)=UPPER('Race Results'!D9),4,IF(UPPER(M4)=UPPER('Race Results'!E9),3,IF(UPPER(M4)=UPPER('Race Results'!F9),2,IF(UPPER(M4)=UPPER('Race Results'!G9),1,0)))))))</f>
        <v/>
      </c>
      <c r="O4" s="17">
        <f t="shared" ref="O4:O33" si="0">IF(COUNTA(D4,F4,H4,J4,L4,N4)=0,"",SUM(D4,F4,H4,J4,L4,N4))</f>
        <v>20</v>
      </c>
    </row>
    <row r="5" spans="1:15" ht="15.6" x14ac:dyDescent="0.3">
      <c r="A5" s="4">
        <v>2</v>
      </c>
      <c r="B5" s="33" t="s">
        <v>73</v>
      </c>
      <c r="C5" s="4" t="s">
        <v>103</v>
      </c>
      <c r="D5" s="16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2</v>
      </c>
      <c r="E5" s="4"/>
      <c r="F5" s="16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6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6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6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4"/>
      <c r="N5" s="16" t="str">
        <f>IF(M5="","",IF(UPPER(M5)=UPPER('Race Results'!B9),10,IF(UPPER(M5)=UPPER('Race Results'!C9),6,IF(UPPER(M5)=UPPER('Race Results'!D9),4,IF(UPPER(M5)=UPPER('Race Results'!E9),3,IF(UPPER(M5)=UPPER('Race Results'!F9),2,IF(UPPER(M5)=UPPER('Race Results'!G9),1,0)))))))</f>
        <v/>
      </c>
      <c r="O5" s="17">
        <f t="shared" si="0"/>
        <v>2</v>
      </c>
    </row>
    <row r="6" spans="1:15" ht="15.6" x14ac:dyDescent="0.3">
      <c r="A6" s="15">
        <v>3</v>
      </c>
      <c r="B6" s="32" t="s">
        <v>74</v>
      </c>
      <c r="C6" s="15" t="s">
        <v>105</v>
      </c>
      <c r="D6" s="16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6</v>
      </c>
      <c r="E6" s="15"/>
      <c r="F6" s="16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6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6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6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5"/>
      <c r="N6" s="16" t="str">
        <f>IF(M6="","",IF(UPPER(M6)=UPPER('Race Results'!B9),10,IF(UPPER(M6)=UPPER('Race Results'!C9),6,IF(UPPER(M6)=UPPER('Race Results'!D9),4,IF(UPPER(M6)=UPPER('Race Results'!E9),3,IF(UPPER(M6)=UPPER('Race Results'!F9),2,IF(UPPER(M6)=UPPER('Race Results'!G9),1,0)))))))</f>
        <v/>
      </c>
      <c r="O6" s="17">
        <f t="shared" si="0"/>
        <v>6</v>
      </c>
    </row>
    <row r="7" spans="1:15" ht="15.6" x14ac:dyDescent="0.3">
      <c r="A7" s="4">
        <v>4</v>
      </c>
      <c r="B7" s="33" t="s">
        <v>75</v>
      </c>
      <c r="C7" s="4" t="s">
        <v>106</v>
      </c>
      <c r="D7" s="16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/>
      <c r="F7" s="16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6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6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6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4"/>
      <c r="N7" s="16" t="str">
        <f>IF(M7="","",IF(UPPER(M7)=UPPER('Race Results'!B9),10,IF(UPPER(M7)=UPPER('Race Results'!C9),6,IF(UPPER(M7)=UPPER('Race Results'!D9),4,IF(UPPER(M7)=UPPER('Race Results'!E9),3,IF(UPPER(M7)=UPPER('Race Results'!F9),2,IF(UPPER(M7)=UPPER('Race Results'!G9),1,0)))))))</f>
        <v/>
      </c>
      <c r="O7" s="17">
        <f t="shared" si="0"/>
        <v>0</v>
      </c>
    </row>
    <row r="8" spans="1:15" ht="15.6" x14ac:dyDescent="0.3">
      <c r="A8" s="15">
        <v>5</v>
      </c>
      <c r="B8" s="32" t="s">
        <v>76</v>
      </c>
      <c r="C8" s="15" t="s">
        <v>107</v>
      </c>
      <c r="D8" s="16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3</v>
      </c>
      <c r="E8" s="15"/>
      <c r="F8" s="16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6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6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6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5"/>
      <c r="N8" s="16" t="str">
        <f>IF(M8="","",IF(UPPER(M8)=UPPER('Race Results'!B9),10,IF(UPPER(M8)=UPPER('Race Results'!C9),6,IF(UPPER(M8)=UPPER('Race Results'!D9),4,IF(UPPER(M8)=UPPER('Race Results'!E9),3,IF(UPPER(M8)=UPPER('Race Results'!F9),2,IF(UPPER(M8)=UPPER('Race Results'!G9),1,0)))))))</f>
        <v/>
      </c>
      <c r="O8" s="17">
        <f t="shared" si="0"/>
        <v>3</v>
      </c>
    </row>
    <row r="9" spans="1:15" ht="15.6" x14ac:dyDescent="0.3">
      <c r="A9" s="4">
        <v>6</v>
      </c>
      <c r="B9" s="33" t="s">
        <v>77</v>
      </c>
      <c r="C9" s="4" t="s">
        <v>108</v>
      </c>
      <c r="D9" s="16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0</v>
      </c>
      <c r="E9" s="4"/>
      <c r="F9" s="16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6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6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6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4"/>
      <c r="N9" s="16" t="str">
        <f>IF(M9="","",IF(UPPER(M9)=UPPER('Race Results'!B9),10,IF(UPPER(M9)=UPPER('Race Results'!C9),6,IF(UPPER(M9)=UPPER('Race Results'!D9),4,IF(UPPER(M9)=UPPER('Race Results'!E9),3,IF(UPPER(M9)=UPPER('Race Results'!F9),2,IF(UPPER(M9)=UPPER('Race Results'!G9),1,0)))))))</f>
        <v/>
      </c>
      <c r="O9" s="17">
        <f t="shared" si="0"/>
        <v>0</v>
      </c>
    </row>
    <row r="10" spans="1:15" ht="15.6" x14ac:dyDescent="0.3">
      <c r="A10" s="15">
        <v>7</v>
      </c>
      <c r="B10" s="32" t="s">
        <v>78</v>
      </c>
      <c r="C10" s="15" t="s">
        <v>109</v>
      </c>
      <c r="D10" s="16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4</v>
      </c>
      <c r="E10" s="15"/>
      <c r="F10" s="16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6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6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6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5"/>
      <c r="N10" s="16" t="str">
        <f>IF(M10="","",IF(UPPER(M10)=UPPER('Race Results'!B9),10,IF(UPPER(M10)=UPPER('Race Results'!C9),6,IF(UPPER(M10)=UPPER('Race Results'!D9),4,IF(UPPER(M10)=UPPER('Race Results'!E9),3,IF(UPPER(M10)=UPPER('Race Results'!F9),2,IF(UPPER(M10)=UPPER('Race Results'!G9),1,0)))))))</f>
        <v/>
      </c>
      <c r="O10" s="17">
        <f t="shared" si="0"/>
        <v>4</v>
      </c>
    </row>
    <row r="11" spans="1:15" ht="15.6" x14ac:dyDescent="0.3">
      <c r="A11" s="4">
        <v>8</v>
      </c>
      <c r="B11" s="33" t="s">
        <v>79</v>
      </c>
      <c r="C11" s="4" t="s">
        <v>110</v>
      </c>
      <c r="D11" s="16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1</v>
      </c>
      <c r="E11" s="4"/>
      <c r="F11" s="16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6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6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6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4"/>
      <c r="N11" s="16" t="str">
        <f>IF(M11="","",IF(UPPER(M11)=UPPER('Race Results'!B9),10,IF(UPPER(M11)=UPPER('Race Results'!C9),6,IF(UPPER(M11)=UPPER('Race Results'!D9),4,IF(UPPER(M11)=UPPER('Race Results'!E9),3,IF(UPPER(M11)=UPPER('Race Results'!F9),2,IF(UPPER(M11)=UPPER('Race Results'!G9),1,0)))))))</f>
        <v/>
      </c>
      <c r="O11" s="17">
        <f t="shared" si="0"/>
        <v>1</v>
      </c>
    </row>
    <row r="12" spans="1:15" ht="15.6" x14ac:dyDescent="0.3">
      <c r="A12" s="15">
        <v>9</v>
      </c>
      <c r="B12" s="32" t="s">
        <v>80</v>
      </c>
      <c r="C12" s="15" t="s">
        <v>111</v>
      </c>
      <c r="D12" s="16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0</v>
      </c>
      <c r="E12" s="15"/>
      <c r="F12" s="16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6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6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6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5"/>
      <c r="N12" s="16" t="str">
        <f>IF(M12="","",IF(UPPER(M12)=UPPER('Race Results'!B9),10,IF(UPPER(M12)=UPPER('Race Results'!C9),6,IF(UPPER(M12)=UPPER('Race Results'!D9),4,IF(UPPER(M12)=UPPER('Race Results'!E9),3,IF(UPPER(M12)=UPPER('Race Results'!F9),2,IF(UPPER(M12)=UPPER('Race Results'!G9),1,0)))))))</f>
        <v/>
      </c>
      <c r="O12" s="17">
        <f t="shared" si="0"/>
        <v>0</v>
      </c>
    </row>
    <row r="13" spans="1:15" ht="15.6" x14ac:dyDescent="0.3">
      <c r="A13" s="4">
        <v>10</v>
      </c>
      <c r="B13" s="33" t="s">
        <v>81</v>
      </c>
      <c r="C13" s="4" t="s">
        <v>112</v>
      </c>
      <c r="D13" s="16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/>
      <c r="F13" s="16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6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6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6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4"/>
      <c r="N13" s="16" t="str">
        <f>IF(M13="","",IF(UPPER(M13)=UPPER('Race Results'!B9),10,IF(UPPER(M13)=UPPER('Race Results'!C9),6,IF(UPPER(M13)=UPPER('Race Results'!D9),4,IF(UPPER(M13)=UPPER('Race Results'!E9),3,IF(UPPER(M13)=UPPER('Race Results'!F9),2,IF(UPPER(M13)=UPPER('Race Results'!G9),1,0)))))))</f>
        <v/>
      </c>
      <c r="O13" s="17">
        <f t="shared" si="0"/>
        <v>0</v>
      </c>
    </row>
    <row r="14" spans="1:15" ht="15.6" x14ac:dyDescent="0.3">
      <c r="A14" s="15">
        <v>11</v>
      </c>
      <c r="B14" s="32" t="s">
        <v>82</v>
      </c>
      <c r="C14" s="15" t="s">
        <v>113</v>
      </c>
      <c r="D14" s="16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/>
      <c r="F14" s="16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6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6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6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5"/>
      <c r="N14" s="16" t="str">
        <f>IF(M14="","",IF(UPPER(M14)=UPPER('Race Results'!B9),10,IF(UPPER(M14)=UPPER('Race Results'!C9),6,IF(UPPER(M14)=UPPER('Race Results'!D9),4,IF(UPPER(M14)=UPPER('Race Results'!E9),3,IF(UPPER(M14)=UPPER('Race Results'!F9),2,IF(UPPER(M14)=UPPER('Race Results'!G9),1,0)))))))</f>
        <v/>
      </c>
      <c r="O14" s="17">
        <f t="shared" si="0"/>
        <v>0</v>
      </c>
    </row>
    <row r="15" spans="1:15" ht="15.6" x14ac:dyDescent="0.3">
      <c r="A15" s="4">
        <v>12</v>
      </c>
      <c r="B15" s="33" t="s">
        <v>83</v>
      </c>
      <c r="C15" s="4" t="s">
        <v>114</v>
      </c>
      <c r="D15" s="16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0</v>
      </c>
      <c r="E15" s="4"/>
      <c r="F15" s="16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6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6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6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4"/>
      <c r="N15" s="16" t="str">
        <f>IF(M15="","",IF(UPPER(M15)=UPPER('Race Results'!B9),10,IF(UPPER(M15)=UPPER('Race Results'!C9),6,IF(UPPER(M15)=UPPER('Race Results'!D9),4,IF(UPPER(M15)=UPPER('Race Results'!E9),3,IF(UPPER(M15)=UPPER('Race Results'!F9),2,IF(UPPER(M15)=UPPER('Race Results'!G9),1,0)))))))</f>
        <v/>
      </c>
      <c r="O15" s="17">
        <f t="shared" si="0"/>
        <v>0</v>
      </c>
    </row>
    <row r="16" spans="1:15" ht="15.6" x14ac:dyDescent="0.3">
      <c r="A16" s="15">
        <v>13</v>
      </c>
      <c r="B16" s="32" t="s">
        <v>84</v>
      </c>
      <c r="C16" s="15" t="s">
        <v>115</v>
      </c>
      <c r="D16" s="16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15"/>
      <c r="F16" s="16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6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6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6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5"/>
      <c r="N16" s="16" t="str">
        <f>IF(M16="","",IF(UPPER(M16)=UPPER('Race Results'!B9),10,IF(UPPER(M16)=UPPER('Race Results'!C9),6,IF(UPPER(M16)=UPPER('Race Results'!D9),4,IF(UPPER(M16)=UPPER('Race Results'!E9),3,IF(UPPER(M16)=UPPER('Race Results'!F9),2,IF(UPPER(M16)=UPPER('Race Results'!G9),1,0)))))))</f>
        <v/>
      </c>
      <c r="O16" s="17">
        <f t="shared" si="0"/>
        <v>0</v>
      </c>
    </row>
    <row r="17" spans="1:15" ht="15.6" x14ac:dyDescent="0.3">
      <c r="A17" s="4">
        <v>14</v>
      </c>
      <c r="B17" s="33" t="s">
        <v>85</v>
      </c>
      <c r="C17" s="4" t="s">
        <v>104</v>
      </c>
      <c r="D17" s="16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0</v>
      </c>
      <c r="E17" s="4"/>
      <c r="F17" s="16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6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6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6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4"/>
      <c r="N17" s="16" t="str">
        <f>IF(M17="","",IF(UPPER(M17)=UPPER('Race Results'!B9),10,IF(UPPER(M17)=UPPER('Race Results'!C9),6,IF(UPPER(M17)=UPPER('Race Results'!D9),4,IF(UPPER(M17)=UPPER('Race Results'!E9),3,IF(UPPER(M17)=UPPER('Race Results'!F9),2,IF(UPPER(M17)=UPPER('Race Results'!G9),1,0)))))))</f>
        <v/>
      </c>
      <c r="O17" s="17">
        <f t="shared" si="0"/>
        <v>0</v>
      </c>
    </row>
    <row r="18" spans="1:15" ht="15.6" x14ac:dyDescent="0.3">
      <c r="A18" s="15">
        <v>15</v>
      </c>
      <c r="B18" s="32" t="s">
        <v>86</v>
      </c>
      <c r="C18" s="15" t="s">
        <v>102</v>
      </c>
      <c r="D18" s="16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10</v>
      </c>
      <c r="E18" s="15"/>
      <c r="F18" s="16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6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6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6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5"/>
      <c r="N18" s="16" t="str">
        <f>IF(M18="","",IF(UPPER(M18)=UPPER('Race Results'!B9),10,IF(UPPER(M18)=UPPER('Race Results'!C9),6,IF(UPPER(M18)=UPPER('Race Results'!D9),4,IF(UPPER(M18)=UPPER('Race Results'!E9),3,IF(UPPER(M18)=UPPER('Race Results'!F9),2,IF(UPPER(M18)=UPPER('Race Results'!G9),1,0)))))))</f>
        <v/>
      </c>
      <c r="O18" s="17">
        <f t="shared" si="0"/>
        <v>10</v>
      </c>
    </row>
    <row r="19" spans="1:15" ht="15.6" x14ac:dyDescent="0.3">
      <c r="A19" s="4">
        <v>16</v>
      </c>
      <c r="B19" s="33" t="s">
        <v>87</v>
      </c>
      <c r="C19" s="4" t="s">
        <v>103</v>
      </c>
      <c r="D19" s="16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2</v>
      </c>
      <c r="E19" s="4"/>
      <c r="F19" s="16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6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6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6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4"/>
      <c r="N19" s="16" t="str">
        <f>IF(M19="","",IF(UPPER(M19)=UPPER('Race Results'!B9),10,IF(UPPER(M19)=UPPER('Race Results'!C9),6,IF(UPPER(M19)=UPPER('Race Results'!D9),4,IF(UPPER(M19)=UPPER('Race Results'!E9),3,IF(UPPER(M19)=UPPER('Race Results'!F9),2,IF(UPPER(M19)=UPPER('Race Results'!G9),1,0)))))))</f>
        <v/>
      </c>
      <c r="O19" s="17">
        <f t="shared" si="0"/>
        <v>2</v>
      </c>
    </row>
    <row r="20" spans="1:15" ht="15.6" x14ac:dyDescent="0.3">
      <c r="A20" s="15">
        <v>17</v>
      </c>
      <c r="B20" s="32" t="s">
        <v>88</v>
      </c>
      <c r="C20" s="15" t="s">
        <v>105</v>
      </c>
      <c r="D20" s="16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6</v>
      </c>
      <c r="E20" s="15"/>
      <c r="F20" s="16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6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6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6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5"/>
      <c r="N20" s="16" t="str">
        <f>IF(M20="","",IF(UPPER(M20)=UPPER('Race Results'!B9),10,IF(UPPER(M20)=UPPER('Race Results'!C9),6,IF(UPPER(M20)=UPPER('Race Results'!D9),4,IF(UPPER(M20)=UPPER('Race Results'!E9),3,IF(UPPER(M20)=UPPER('Race Results'!F9),2,IF(UPPER(M20)=UPPER('Race Results'!G9),1,0)))))))</f>
        <v/>
      </c>
      <c r="O20" s="17">
        <f t="shared" si="0"/>
        <v>6</v>
      </c>
    </row>
    <row r="21" spans="1:15" ht="15.6" x14ac:dyDescent="0.3">
      <c r="A21" s="4">
        <v>18</v>
      </c>
      <c r="B21" s="33" t="s">
        <v>89</v>
      </c>
      <c r="C21" s="4" t="s">
        <v>106</v>
      </c>
      <c r="D21" s="16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4"/>
      <c r="F21" s="16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6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6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6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4"/>
      <c r="N21" s="16" t="str">
        <f>IF(M21="","",IF(UPPER(M21)=UPPER('Race Results'!B9),10,IF(UPPER(M21)=UPPER('Race Results'!C9),6,IF(UPPER(M21)=UPPER('Race Results'!D9),4,IF(UPPER(M21)=UPPER('Race Results'!E9),3,IF(UPPER(M21)=UPPER('Race Results'!F9),2,IF(UPPER(M21)=UPPER('Race Results'!G9),1,0)))))))</f>
        <v/>
      </c>
      <c r="O21" s="17">
        <f t="shared" si="0"/>
        <v>0</v>
      </c>
    </row>
    <row r="22" spans="1:15" ht="15.6" x14ac:dyDescent="0.3">
      <c r="A22" s="15">
        <v>19</v>
      </c>
      <c r="B22" s="32" t="s">
        <v>90</v>
      </c>
      <c r="C22" s="15" t="s">
        <v>107</v>
      </c>
      <c r="D22" s="16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3</v>
      </c>
      <c r="E22" s="15"/>
      <c r="F22" s="16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6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6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6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5"/>
      <c r="N22" s="16" t="str">
        <f>IF(M22="","",IF(UPPER(M22)=UPPER('Race Results'!B9),10,IF(UPPER(M22)=UPPER('Race Results'!C9),6,IF(UPPER(M22)=UPPER('Race Results'!D9),4,IF(UPPER(M22)=UPPER('Race Results'!E9),3,IF(UPPER(M22)=UPPER('Race Results'!F9),2,IF(UPPER(M22)=UPPER('Race Results'!G9),1,0)))))))</f>
        <v/>
      </c>
      <c r="O22" s="17">
        <f t="shared" si="0"/>
        <v>3</v>
      </c>
    </row>
    <row r="23" spans="1:15" ht="15.6" x14ac:dyDescent="0.3">
      <c r="A23" s="4">
        <v>20</v>
      </c>
      <c r="B23" s="33" t="s">
        <v>91</v>
      </c>
      <c r="C23" s="4" t="s">
        <v>108</v>
      </c>
      <c r="D23" s="16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4"/>
      <c r="F23" s="16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6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6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6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4"/>
      <c r="N23" s="16" t="str">
        <f>IF(M23="","",IF(UPPER(M23)=UPPER('Race Results'!B9),10,IF(UPPER(M23)=UPPER('Race Results'!C9),6,IF(UPPER(M23)=UPPER('Race Results'!D9),4,IF(UPPER(M23)=UPPER('Race Results'!E9),3,IF(UPPER(M23)=UPPER('Race Results'!F9),2,IF(UPPER(M23)=UPPER('Race Results'!G9),1,0)))))))</f>
        <v/>
      </c>
      <c r="O23" s="17">
        <f t="shared" si="0"/>
        <v>0</v>
      </c>
    </row>
    <row r="24" spans="1:15" ht="15.6" x14ac:dyDescent="0.3">
      <c r="A24" s="15">
        <v>21</v>
      </c>
      <c r="B24" s="32" t="s">
        <v>92</v>
      </c>
      <c r="C24" s="15" t="s">
        <v>109</v>
      </c>
      <c r="D24" s="16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4</v>
      </c>
      <c r="E24" s="15"/>
      <c r="F24" s="16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6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6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6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5"/>
      <c r="N24" s="16" t="str">
        <f>IF(M24="","",IF(UPPER(M24)=UPPER('Race Results'!B9),10,IF(UPPER(M24)=UPPER('Race Results'!C9),6,IF(UPPER(M24)=UPPER('Race Results'!D9),4,IF(UPPER(M24)=UPPER('Race Results'!E9),3,IF(UPPER(M24)=UPPER('Race Results'!F9),2,IF(UPPER(M24)=UPPER('Race Results'!G9),1,0)))))))</f>
        <v/>
      </c>
      <c r="O24" s="17">
        <f t="shared" si="0"/>
        <v>4</v>
      </c>
    </row>
    <row r="25" spans="1:15" ht="15.6" x14ac:dyDescent="0.3">
      <c r="A25" s="4">
        <v>22</v>
      </c>
      <c r="B25" s="33" t="s">
        <v>93</v>
      </c>
      <c r="C25" s="4" t="s">
        <v>110</v>
      </c>
      <c r="D25" s="16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</v>
      </c>
      <c r="E25" s="4"/>
      <c r="F25" s="16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6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6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6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4"/>
      <c r="N25" s="16" t="str">
        <f>IF(M25="","",IF(UPPER(M25)=UPPER('Race Results'!B9),10,IF(UPPER(M25)=UPPER('Race Results'!C9),6,IF(UPPER(M25)=UPPER('Race Results'!D9),4,IF(UPPER(M25)=UPPER('Race Results'!E9),3,IF(UPPER(M25)=UPPER('Race Results'!F9),2,IF(UPPER(M25)=UPPER('Race Results'!G9),1,0)))))))</f>
        <v/>
      </c>
      <c r="O25" s="17">
        <f t="shared" si="0"/>
        <v>1</v>
      </c>
    </row>
    <row r="26" spans="1:15" ht="15.6" x14ac:dyDescent="0.3">
      <c r="A26" s="15">
        <v>23</v>
      </c>
      <c r="B26" s="32" t="s">
        <v>94</v>
      </c>
      <c r="C26" s="15" t="s">
        <v>111</v>
      </c>
      <c r="D26" s="16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15"/>
      <c r="F26" s="16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6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6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6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5"/>
      <c r="N26" s="16" t="str">
        <f>IF(M26="","",IF(UPPER(M26)=UPPER('Race Results'!B9),10,IF(UPPER(M26)=UPPER('Race Results'!C9),6,IF(UPPER(M26)=UPPER('Race Results'!D9),4,IF(UPPER(M26)=UPPER('Race Results'!E9),3,IF(UPPER(M26)=UPPER('Race Results'!F9),2,IF(UPPER(M26)=UPPER('Race Results'!G9),1,0)))))))</f>
        <v/>
      </c>
      <c r="O26" s="17">
        <f t="shared" si="0"/>
        <v>0</v>
      </c>
    </row>
    <row r="27" spans="1:15" ht="15.6" x14ac:dyDescent="0.3">
      <c r="A27" s="4">
        <v>24</v>
      </c>
      <c r="B27" s="33" t="s">
        <v>95</v>
      </c>
      <c r="C27" s="4" t="s">
        <v>112</v>
      </c>
      <c r="D27" s="16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0</v>
      </c>
      <c r="E27" s="4"/>
      <c r="F27" s="16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6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6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6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4"/>
      <c r="N27" s="16" t="str">
        <f>IF(M27="","",IF(UPPER(M27)=UPPER('Race Results'!B9),10,IF(UPPER(M27)=UPPER('Race Results'!C9),6,IF(UPPER(M27)=UPPER('Race Results'!D9),4,IF(UPPER(M27)=UPPER('Race Results'!E9),3,IF(UPPER(M27)=UPPER('Race Results'!F9),2,IF(UPPER(M27)=UPPER('Race Results'!G9),1,0)))))))</f>
        <v/>
      </c>
      <c r="O27" s="17">
        <f t="shared" si="0"/>
        <v>0</v>
      </c>
    </row>
    <row r="28" spans="1:15" ht="15.6" x14ac:dyDescent="0.3">
      <c r="A28" s="15">
        <v>25</v>
      </c>
      <c r="B28" s="32" t="s">
        <v>96</v>
      </c>
      <c r="C28" s="15" t="s">
        <v>113</v>
      </c>
      <c r="D28" s="16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15"/>
      <c r="F28" s="16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6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6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6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5"/>
      <c r="N28" s="16" t="str">
        <f>IF(M28="","",IF(UPPER(M28)=UPPER('Race Results'!B9),10,IF(UPPER(M28)=UPPER('Race Results'!C9),6,IF(UPPER(M28)=UPPER('Race Results'!D9),4,IF(UPPER(M28)=UPPER('Race Results'!E9),3,IF(UPPER(M28)=UPPER('Race Results'!F9),2,IF(UPPER(M28)=UPPER('Race Results'!G9),1,0)))))))</f>
        <v/>
      </c>
      <c r="O28" s="17">
        <f t="shared" si="0"/>
        <v>0</v>
      </c>
    </row>
    <row r="29" spans="1:15" ht="15.6" x14ac:dyDescent="0.3">
      <c r="A29" s="4">
        <v>26</v>
      </c>
      <c r="B29" s="33" t="s">
        <v>97</v>
      </c>
      <c r="C29" s="4" t="s">
        <v>114</v>
      </c>
      <c r="D29" s="16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>0</v>
      </c>
      <c r="E29" s="4"/>
      <c r="F29" s="16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6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6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6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4"/>
      <c r="N29" s="16" t="str">
        <f>IF(M29="","",IF(UPPER(M29)=UPPER('Race Results'!B9),10,IF(UPPER(M29)=UPPER('Race Results'!C9),6,IF(UPPER(M29)=UPPER('Race Results'!D9),4,IF(UPPER(M29)=UPPER('Race Results'!E9),3,IF(UPPER(M29)=UPPER('Race Results'!F9),2,IF(UPPER(M29)=UPPER('Race Results'!G9),1,0)))))))</f>
        <v/>
      </c>
      <c r="O29" s="17">
        <f t="shared" si="0"/>
        <v>0</v>
      </c>
    </row>
    <row r="30" spans="1:15" ht="15.6" x14ac:dyDescent="0.3">
      <c r="A30" s="15">
        <v>27</v>
      </c>
      <c r="B30" s="32" t="s">
        <v>98</v>
      </c>
      <c r="C30" s="15" t="s">
        <v>115</v>
      </c>
      <c r="D30" s="16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>0</v>
      </c>
      <c r="E30" s="15"/>
      <c r="F30" s="16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6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6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6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5"/>
      <c r="N30" s="16" t="str">
        <f>IF(M30="","",IF(UPPER(M30)=UPPER('Race Results'!B9),10,IF(UPPER(M30)=UPPER('Race Results'!C9),6,IF(UPPER(M30)=UPPER('Race Results'!D9),4,IF(UPPER(M30)=UPPER('Race Results'!E9),3,IF(UPPER(M30)=UPPER('Race Results'!F9),2,IF(UPPER(M30)=UPPER('Race Results'!G9),1,0)))))))</f>
        <v/>
      </c>
      <c r="O30" s="17">
        <f t="shared" si="0"/>
        <v>0</v>
      </c>
    </row>
    <row r="31" spans="1:15" ht="15.6" x14ac:dyDescent="0.3">
      <c r="A31" s="4">
        <v>28</v>
      </c>
      <c r="B31" s="33" t="s">
        <v>99</v>
      </c>
      <c r="C31" s="4" t="s">
        <v>104</v>
      </c>
      <c r="D31" s="16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>0</v>
      </c>
      <c r="E31" s="4"/>
      <c r="F31" s="16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6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6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6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4"/>
      <c r="N31" s="16" t="str">
        <f>IF(M31="","",IF(UPPER(M31)=UPPER('Race Results'!B9),10,IF(UPPER(M31)=UPPER('Race Results'!C9),6,IF(UPPER(M31)=UPPER('Race Results'!D9),4,IF(UPPER(M31)=UPPER('Race Results'!E9),3,IF(UPPER(M31)=UPPER('Race Results'!F9),2,IF(UPPER(M31)=UPPER('Race Results'!G9),1,0)))))))</f>
        <v/>
      </c>
      <c r="O31" s="17">
        <f t="shared" si="0"/>
        <v>0</v>
      </c>
    </row>
    <row r="32" spans="1:15" ht="15.6" x14ac:dyDescent="0.3">
      <c r="A32" s="15">
        <v>29</v>
      </c>
      <c r="B32" s="32" t="s">
        <v>100</v>
      </c>
      <c r="C32" s="15" t="s">
        <v>102</v>
      </c>
      <c r="D32" s="16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>10</v>
      </c>
      <c r="E32" s="15"/>
      <c r="F32" s="16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6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6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6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5"/>
      <c r="N32" s="16" t="str">
        <f>IF(M32="","",IF(UPPER(M32)=UPPER('Race Results'!B9),10,IF(UPPER(M32)=UPPER('Race Results'!C9),6,IF(UPPER(M32)=UPPER('Race Results'!D9),4,IF(UPPER(M32)=UPPER('Race Results'!E9),3,IF(UPPER(M32)=UPPER('Race Results'!F9),2,IF(UPPER(M32)=UPPER('Race Results'!G9),1,0)))))))</f>
        <v/>
      </c>
      <c r="O32" s="17">
        <f t="shared" si="0"/>
        <v>10</v>
      </c>
    </row>
    <row r="33" spans="1:15" ht="15.6" x14ac:dyDescent="0.3">
      <c r="A33" s="4">
        <v>30</v>
      </c>
      <c r="B33" s="33" t="s">
        <v>101</v>
      </c>
      <c r="C33" s="4" t="s">
        <v>106</v>
      </c>
      <c r="D33" s="16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>0</v>
      </c>
      <c r="E33" s="4"/>
      <c r="F33" s="16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6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6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6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4"/>
      <c r="N33" s="16" t="str">
        <f>IF(M33="","",IF(UPPER(M33)=UPPER('Race Results'!B9),10,IF(UPPER(M33)=UPPER('Race Results'!C9),6,IF(UPPER(M33)=UPPER('Race Results'!D9),4,IF(UPPER(M33)=UPPER('Race Results'!E9),3,IF(UPPER(M33)=UPPER('Race Results'!F9),2,IF(UPPER(M33)=UPPER('Race Results'!G9),1,0)))))))</f>
        <v/>
      </c>
      <c r="O33" s="17">
        <f t="shared" si="0"/>
        <v>0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Card'!$B$4:$B$33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Card'!$C$4:$C$33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Card'!$D$4:$D$33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Card'!$E$4:$E$33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Card'!$F$4:$F$33</xm:f>
          </x14:formula1>
          <x14:formula2>
            <xm:f>0</xm:f>
          </x14:formula2>
          <xm:sqref>K4:K33</xm:sqref>
        </x14:dataValidation>
        <x14:dataValidation type="list" allowBlank="1" showInputMessage="1" promptTitle="Hampton Court" prompt="Select horse for Hampton Court" xr:uid="{00000000-0002-0000-0300-000006000000}">
          <x14:formula1>
            <xm:f>'Race Card'!$G$4:$G$33</xm:f>
          </x14:formula1>
          <x14:formula2>
            <xm:f>0</xm:f>
          </x14:formula2>
          <xm:sqref>M4:M33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I19" sqref="I19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42" t="s">
        <v>32</v>
      </c>
      <c r="B1" s="42"/>
      <c r="C1" s="42"/>
      <c r="D1" s="42"/>
    </row>
    <row r="2" spans="1:4" x14ac:dyDescent="0.3">
      <c r="A2" s="12" t="s">
        <v>33</v>
      </c>
      <c r="B2" s="12" t="s">
        <v>34</v>
      </c>
      <c r="C2" s="12" t="s">
        <v>35</v>
      </c>
      <c r="D2" s="12" t="s">
        <v>36</v>
      </c>
    </row>
    <row r="3" spans="1:4" ht="18" x14ac:dyDescent="0.3">
      <c r="A3" s="18">
        <v>1</v>
      </c>
      <c r="B3" s="19" t="str">
        <f>IFERROR(INDEX('Picks &amp; Scores'!$B$4:$B$33,MATCH(LARGE('Picks &amp; Scores'!$O$4:$O$33,1),'Picks &amp; Scores'!$O$4:$O$33,0)),"")</f>
        <v>Sophie Mitchel</v>
      </c>
      <c r="C3" s="20">
        <f>IFERROR(LARGE('Picks &amp; Scores'!$O$4:$O$33,1),"")</f>
        <v>20</v>
      </c>
      <c r="D3" s="21">
        <f ca="1">IFERROR(COUNTIF(OFFSET('Picks &amp; Scores'!$D$4:$N$33,MATCH(C3,'Picks &amp; Scores'!$O$4:$O$33,0)-1,0,1,11),10),"")</f>
        <v>2</v>
      </c>
    </row>
    <row r="4" spans="1:4" ht="18" x14ac:dyDescent="0.3">
      <c r="A4" s="18">
        <v>2</v>
      </c>
      <c r="B4" s="19" t="str">
        <f>IFERROR(INDEX('Picks &amp; Scores'!$B$4:$B$33,MATCH(LARGE('Picks &amp; Scores'!$O$4:$O$33,2),'Picks &amp; Scores'!$O$4:$O$33,0)),"")</f>
        <v>Olivia Chambers</v>
      </c>
      <c r="C4" s="20">
        <f>IFERROR(LARGE('Picks &amp; Scores'!$O$4:$O$33,2),"")</f>
        <v>10</v>
      </c>
      <c r="D4" s="21">
        <f ca="1">IFERROR(COUNTIF(OFFSET('Picks &amp; Scores'!$D$4:$N$33,MATCH(C4,'Picks &amp; Scores'!$O$4:$O$33,0)-1,0,1,11),10),"")</f>
        <v>1</v>
      </c>
    </row>
    <row r="5" spans="1:4" ht="18" x14ac:dyDescent="0.3">
      <c r="A5" s="18">
        <v>3</v>
      </c>
      <c r="B5" s="19" t="str">
        <f>IFERROR(INDEX('Picks &amp; Scores'!$B$4:$B$33,MATCH(LARGE('Picks &amp; Scores'!$O$4:$O$33,3),'Picks &amp; Scores'!$O$4:$O$33,0)),"")</f>
        <v>Olivia Chambers</v>
      </c>
      <c r="C5" s="20">
        <f>IFERROR(LARGE('Picks &amp; Scores'!$O$4:$O$33,3),"")</f>
        <v>10</v>
      </c>
      <c r="D5" s="21">
        <f ca="1">IFERROR(COUNTIF(OFFSET('Picks &amp; Scores'!$D$4:$N$33,MATCH(C5,'Picks &amp; Scores'!$O$4:$O$33,0)-1,0,1,11),10),"")</f>
        <v>1</v>
      </c>
    </row>
    <row r="6" spans="1:4" ht="18" x14ac:dyDescent="0.3">
      <c r="A6" s="22">
        <v>4</v>
      </c>
      <c r="B6" s="23" t="str">
        <f>IFERROR(INDEX('Picks &amp; Scores'!$B$4:$B$33,MATCH(LARGE('Picks &amp; Scores'!$O$4:$O$33,4),'Picks &amp; Scores'!$O$4:$O$33,0)),"")</f>
        <v>Rebecca Thompson</v>
      </c>
      <c r="C6" s="24">
        <f>IFERROR(LARGE('Picks &amp; Scores'!$O$4:$O$33,4),"")</f>
        <v>6</v>
      </c>
      <c r="D6" s="25">
        <f ca="1">IFERROR(COUNTIF(OFFSET('Picks &amp; Scores'!$D$4:$N$33,MATCH(C6,'Picks &amp; Scores'!$O$4:$O$33,0)-1,0,1,11),10),"")</f>
        <v>0</v>
      </c>
    </row>
    <row r="7" spans="1:4" ht="18" x14ac:dyDescent="0.3">
      <c r="A7" s="26">
        <v>5</v>
      </c>
      <c r="B7" s="27" t="str">
        <f>IFERROR(INDEX('Picks &amp; Scores'!$B$4:$B$33,MATCH(LARGE('Picks &amp; Scores'!$O$4:$O$33,5),'Picks &amp; Scores'!$O$4:$O$33,0)),"")</f>
        <v>Rebecca Thompson</v>
      </c>
      <c r="C7" s="28">
        <f>IFERROR(LARGE('Picks &amp; Scores'!$O$4:$O$33,5),"")</f>
        <v>6</v>
      </c>
      <c r="D7" s="29">
        <f ca="1">IFERROR(COUNTIF(OFFSET('Picks &amp; Scores'!$D$4:$N$33,MATCH(C7,'Picks &amp; Scores'!$O$4:$O$33,0)-1,0,1,11),10),"")</f>
        <v>0</v>
      </c>
    </row>
    <row r="8" spans="1:4" ht="18" x14ac:dyDescent="0.3">
      <c r="A8" s="22">
        <v>6</v>
      </c>
      <c r="B8" s="23" t="str">
        <f>IFERROR(INDEX('Picks &amp; Scores'!$B$4:$B$33,MATCH(LARGE('Picks &amp; Scores'!$O$4:$O$33,6),'Picks &amp; Scores'!$O$4:$O$33,0)),"")</f>
        <v>Hannah Porter</v>
      </c>
      <c r="C8" s="24">
        <f>IFERROR(LARGE('Picks &amp; Scores'!$O$4:$O$33,6),"")</f>
        <v>4</v>
      </c>
      <c r="D8" s="25">
        <f ca="1">IFERROR(COUNTIF(OFFSET('Picks &amp; Scores'!$D$4:$N$33,MATCH(C8,'Picks &amp; Scores'!$O$4:$O$33,0)-1,0,1,11),10),"")</f>
        <v>0</v>
      </c>
    </row>
    <row r="9" spans="1:4" ht="18" x14ac:dyDescent="0.3">
      <c r="A9" s="26">
        <v>7</v>
      </c>
      <c r="B9" s="27" t="str">
        <f>IFERROR(INDEX('Picks &amp; Scores'!$B$4:$B$33,MATCH(LARGE('Picks &amp; Scores'!$O$4:$O$33,7),'Picks &amp; Scores'!$O$4:$O$33,0)),"")</f>
        <v>Hannah Porter</v>
      </c>
      <c r="C9" s="28">
        <f>IFERROR(LARGE('Picks &amp; Scores'!$O$4:$O$33,7),"")</f>
        <v>4</v>
      </c>
      <c r="D9" s="29">
        <f ca="1">IFERROR(COUNTIF(OFFSET('Picks &amp; Scores'!$D$4:$N$33,MATCH(C9,'Picks &amp; Scores'!$O$4:$O$33,0)-1,0,1,11),10),"")</f>
        <v>0</v>
      </c>
    </row>
    <row r="10" spans="1:4" ht="18" x14ac:dyDescent="0.3">
      <c r="A10" s="22">
        <v>8</v>
      </c>
      <c r="B10" s="23" t="str">
        <f>IFERROR(INDEX('Picks &amp; Scores'!$B$4:$B$33,MATCH(LARGE('Picks &amp; Scores'!$O$4:$O$33,8),'Picks &amp; Scores'!$O$4:$O$33,0)),"")</f>
        <v>Lauren Davies</v>
      </c>
      <c r="C10" s="24">
        <f>IFERROR(LARGE('Picks &amp; Scores'!$O$4:$O$33,8),"")</f>
        <v>3</v>
      </c>
      <c r="D10" s="25">
        <f ca="1">IFERROR(COUNTIF(OFFSET('Picks &amp; Scores'!$D$4:$N$33,MATCH(C10,'Picks &amp; Scores'!$O$4:$O$33,0)-1,0,1,11),10),"")</f>
        <v>0</v>
      </c>
    </row>
    <row r="11" spans="1:4" ht="18" x14ac:dyDescent="0.3">
      <c r="A11" s="26">
        <v>9</v>
      </c>
      <c r="B11" s="27" t="str">
        <f>IFERROR(INDEX('Picks &amp; Scores'!$B$4:$B$33,MATCH(LARGE('Picks &amp; Scores'!$O$4:$O$33,9),'Picks &amp; Scores'!$O$4:$O$33,0)),"")</f>
        <v>Lauren Davies</v>
      </c>
      <c r="C11" s="28">
        <f>IFERROR(LARGE('Picks &amp; Scores'!$O$4:$O$33,9),"")</f>
        <v>3</v>
      </c>
      <c r="D11" s="29">
        <f ca="1">IFERROR(COUNTIF(OFFSET('Picks &amp; Scores'!$D$4:$N$33,MATCH(C11,'Picks &amp; Scores'!$O$4:$O$33,0)-1,0,1,11),10),"")</f>
        <v>0</v>
      </c>
    </row>
    <row r="12" spans="1:4" ht="18" x14ac:dyDescent="0.3">
      <c r="A12" s="22">
        <v>10</v>
      </c>
      <c r="B12" s="23" t="str">
        <f>IFERROR(INDEX('Picks &amp; Scores'!$B$4:$B$33,MATCH(LARGE('Picks &amp; Scores'!$O$4:$O$33,10),'Picks &amp; Scores'!$O$4:$O$33,0)),"")</f>
        <v>Charlotte Hayes</v>
      </c>
      <c r="C12" s="24">
        <f>IFERROR(LARGE('Picks &amp; Scores'!$O$4:$O$33,10),"")</f>
        <v>2</v>
      </c>
      <c r="D12" s="25">
        <f ca="1">IFERROR(COUNTIF(OFFSET('Picks &amp; Scores'!$D$4:$N$33,MATCH(C12,'Picks &amp; Scores'!$O$4:$O$33,0)-1,0,1,11),10),"")</f>
        <v>0</v>
      </c>
    </row>
    <row r="13" spans="1:4" ht="18" x14ac:dyDescent="0.3">
      <c r="A13" s="26">
        <v>11</v>
      </c>
      <c r="B13" s="27" t="str">
        <f>IFERROR(INDEX('Picks &amp; Scores'!$B$4:$B$33,MATCH(LARGE('Picks &amp; Scores'!$O$4:$O$33,11),'Picks &amp; Scores'!$O$4:$O$33,0)),"")</f>
        <v>Charlotte Hayes</v>
      </c>
      <c r="C13" s="28">
        <f>IFERROR(LARGE('Picks &amp; Scores'!$O$4:$O$33,11),"")</f>
        <v>2</v>
      </c>
      <c r="D13" s="29">
        <f ca="1">IFERROR(COUNTIF(OFFSET('Picks &amp; Scores'!$D$4:$N$33,MATCH(C13,'Picks &amp; Scores'!$O$4:$O$33,0)-1,0,1,11),10),"")</f>
        <v>0</v>
      </c>
    </row>
    <row r="14" spans="1:4" ht="18" x14ac:dyDescent="0.3">
      <c r="A14" s="22">
        <v>12</v>
      </c>
      <c r="B14" s="23" t="str">
        <f>IFERROR(INDEX('Picks &amp; Scores'!$B$4:$B$33,MATCH(LARGE('Picks &amp; Scores'!$O$4:$O$33,12),'Picks &amp; Scores'!$O$4:$O$33,0)),"")</f>
        <v>Priya Sharma</v>
      </c>
      <c r="C14" s="24">
        <f>IFERROR(LARGE('Picks &amp; Scores'!$O$4:$O$33,12),"")</f>
        <v>1</v>
      </c>
      <c r="D14" s="25">
        <f ca="1">IFERROR(COUNTIF(OFFSET('Picks &amp; Scores'!$D$4:$N$33,MATCH(C14,'Picks &amp; Scores'!$O$4:$O$33,0)-1,0,1,11),10),"")</f>
        <v>0</v>
      </c>
    </row>
    <row r="15" spans="1:4" ht="18" x14ac:dyDescent="0.3">
      <c r="A15" s="26">
        <v>13</v>
      </c>
      <c r="B15" s="27" t="str">
        <f>IFERROR(INDEX('Picks &amp; Scores'!$B$4:$B$33,MATCH(LARGE('Picks &amp; Scores'!$O$4:$O$33,13),'Picks &amp; Scores'!$O$4:$O$33,0)),"")</f>
        <v>Priya Sharma</v>
      </c>
      <c r="C15" s="28">
        <f>IFERROR(LARGE('Picks &amp; Scores'!$O$4:$O$33,13),"")</f>
        <v>1</v>
      </c>
      <c r="D15" s="29">
        <f ca="1">IFERROR(COUNTIF(OFFSET('Picks &amp; Scores'!$D$4:$N$33,MATCH(C15,'Picks &amp; Scores'!$O$4:$O$33,0)-1,0,1,11),10),"")</f>
        <v>0</v>
      </c>
    </row>
    <row r="16" spans="1:4" ht="18" x14ac:dyDescent="0.3">
      <c r="A16" s="22">
        <v>14</v>
      </c>
      <c r="B16" s="23" t="str">
        <f>IFERROR(INDEX('Picks &amp; Scores'!$B$4:$B$33,MATCH(LARGE('Picks &amp; Scores'!$O$4:$O$33,14),'Picks &amp; Scores'!$O$4:$O$33,0)),"")</f>
        <v>Emma Whitfield</v>
      </c>
      <c r="C16" s="24">
        <f>IFERROR(LARGE('Picks &amp; Scores'!$O$4:$O$33,14),"")</f>
        <v>0</v>
      </c>
      <c r="D16" s="25">
        <f ca="1">IFERROR(COUNTIF(OFFSET('Picks &amp; Scores'!$D$4:$N$33,MATCH(C16,'Picks &amp; Scores'!$O$4:$O$33,0)-1,0,1,11),10),"")</f>
        <v>0</v>
      </c>
    </row>
    <row r="17" spans="1:4" ht="18" x14ac:dyDescent="0.3">
      <c r="A17" s="26">
        <v>15</v>
      </c>
      <c r="B17" s="27" t="str">
        <f>IFERROR(INDEX('Picks &amp; Scores'!$B$4:$B$33,MATCH(LARGE('Picks &amp; Scores'!$O$4:$O$33,15),'Picks &amp; Scores'!$O$4:$O$33,0)),"")</f>
        <v>Emma Whitfield</v>
      </c>
      <c r="C17" s="28">
        <f>IFERROR(LARGE('Picks &amp; Scores'!$O$4:$O$33,15),"")</f>
        <v>0</v>
      </c>
      <c r="D17" s="29">
        <f ca="1">IFERROR(COUNTIF(OFFSET('Picks &amp; Scores'!$D$4:$N$33,MATCH(C17,'Picks &amp; Scores'!$O$4:$O$33,0)-1,0,1,11),10),"")</f>
        <v>0</v>
      </c>
    </row>
    <row r="18" spans="1:4" ht="18" x14ac:dyDescent="0.3">
      <c r="A18" s="22">
        <v>16</v>
      </c>
      <c r="B18" s="23" t="str">
        <f>IFERROR(INDEX('Picks &amp; Scores'!$B$4:$B$33,MATCH(LARGE('Picks &amp; Scores'!$O$4:$O$33,16),'Picks &amp; Scores'!$O$4:$O$33,0)),"")</f>
        <v>Emma Whitfield</v>
      </c>
      <c r="C18" s="24">
        <f>IFERROR(LARGE('Picks &amp; Scores'!$O$4:$O$33,16),"")</f>
        <v>0</v>
      </c>
      <c r="D18" s="25">
        <f ca="1">IFERROR(COUNTIF(OFFSET('Picks &amp; Scores'!$D$4:$N$33,MATCH(C18,'Picks &amp; Scores'!$O$4:$O$33,0)-1,0,1,11),10),"")</f>
        <v>0</v>
      </c>
    </row>
    <row r="19" spans="1:4" ht="18" x14ac:dyDescent="0.3">
      <c r="A19" s="26">
        <v>17</v>
      </c>
      <c r="B19" s="27" t="str">
        <f>IFERROR(INDEX('Picks &amp; Scores'!$B$4:$B$33,MATCH(LARGE('Picks &amp; Scores'!$O$4:$O$33,17),'Picks &amp; Scores'!$O$4:$O$33,0)),"")</f>
        <v>Emma Whitfield</v>
      </c>
      <c r="C19" s="28">
        <f>IFERROR(LARGE('Picks &amp; Scores'!$O$4:$O$33,17),"")</f>
        <v>0</v>
      </c>
      <c r="D19" s="29">
        <f ca="1">IFERROR(COUNTIF(OFFSET('Picks &amp; Scores'!$D$4:$N$33,MATCH(C19,'Picks &amp; Scores'!$O$4:$O$33,0)-1,0,1,11),10),"")</f>
        <v>0</v>
      </c>
    </row>
    <row r="20" spans="1:4" ht="18" x14ac:dyDescent="0.3">
      <c r="A20" s="22">
        <v>18</v>
      </c>
      <c r="B20" s="23" t="str">
        <f>IFERROR(INDEX('Picks &amp; Scores'!$B$4:$B$33,MATCH(LARGE('Picks &amp; Scores'!$O$4:$O$33,18),'Picks &amp; Scores'!$O$4:$O$33,0)),"")</f>
        <v>Emma Whitfield</v>
      </c>
      <c r="C20" s="24">
        <f>IFERROR(LARGE('Picks &amp; Scores'!$O$4:$O$33,18),"")</f>
        <v>0</v>
      </c>
      <c r="D20" s="25">
        <f ca="1">IFERROR(COUNTIF(OFFSET('Picks &amp; Scores'!$D$4:$N$33,MATCH(C20,'Picks &amp; Scores'!$O$4:$O$33,0)-1,0,1,11),10),"")</f>
        <v>0</v>
      </c>
    </row>
    <row r="21" spans="1:4" ht="18" x14ac:dyDescent="0.3">
      <c r="A21" s="26">
        <v>19</v>
      </c>
      <c r="B21" s="27" t="str">
        <f>IFERROR(INDEX('Picks &amp; Scores'!$B$4:$B$33,MATCH(LARGE('Picks &amp; Scores'!$O$4:$O$33,19),'Picks &amp; Scores'!$O$4:$O$33,0)),"")</f>
        <v>Emma Whitfield</v>
      </c>
      <c r="C21" s="28">
        <f>IFERROR(LARGE('Picks &amp; Scores'!$O$4:$O$33,19),"")</f>
        <v>0</v>
      </c>
      <c r="D21" s="29">
        <f ca="1">IFERROR(COUNTIF(OFFSET('Picks &amp; Scores'!$D$4:$N$33,MATCH(C21,'Picks &amp; Scores'!$O$4:$O$33,0)-1,0,1,11),10),"")</f>
        <v>0</v>
      </c>
    </row>
    <row r="22" spans="1:4" ht="18" x14ac:dyDescent="0.3">
      <c r="A22" s="22">
        <v>20</v>
      </c>
      <c r="B22" s="23" t="str">
        <f>IFERROR(INDEX('Picks &amp; Scores'!$B$4:$B$33,MATCH(LARGE('Picks &amp; Scores'!$O$4:$O$33,20),'Picks &amp; Scores'!$O$4:$O$33,0)),"")</f>
        <v>Emma Whitfield</v>
      </c>
      <c r="C22" s="24">
        <f>IFERROR(LARGE('Picks &amp; Scores'!$O$4:$O$33,20),"")</f>
        <v>0</v>
      </c>
      <c r="D22" s="25">
        <f ca="1">IFERROR(COUNTIF(OFFSET('Picks &amp; Scores'!$D$4:$N$33,MATCH(C22,'Picks &amp; Scores'!$O$4:$O$33,0)-1,0,1,11),10),"")</f>
        <v>0</v>
      </c>
    </row>
    <row r="23" spans="1:4" ht="18" x14ac:dyDescent="0.3">
      <c r="A23" s="26">
        <v>21</v>
      </c>
      <c r="B23" s="27" t="str">
        <f>IFERROR(INDEX('Picks &amp; Scores'!$B$4:$B$33,MATCH(LARGE('Picks &amp; Scores'!$O$4:$O$33,21),'Picks &amp; Scores'!$O$4:$O$33,0)),"")</f>
        <v>Emma Whitfield</v>
      </c>
      <c r="C23" s="28">
        <f>IFERROR(LARGE('Picks &amp; Scores'!$O$4:$O$33,21),"")</f>
        <v>0</v>
      </c>
      <c r="D23" s="29">
        <f ca="1">IFERROR(COUNTIF(OFFSET('Picks &amp; Scores'!$D$4:$N$33,MATCH(C23,'Picks &amp; Scores'!$O$4:$O$33,0)-1,0,1,11),10),"")</f>
        <v>0</v>
      </c>
    </row>
    <row r="24" spans="1:4" ht="18" x14ac:dyDescent="0.3">
      <c r="A24" s="22">
        <v>22</v>
      </c>
      <c r="B24" s="23" t="str">
        <f>IFERROR(INDEX('Picks &amp; Scores'!$B$4:$B$33,MATCH(LARGE('Picks &amp; Scores'!$O$4:$O$33,22),'Picks &amp; Scores'!$O$4:$O$33,0)),"")</f>
        <v>Emma Whitfield</v>
      </c>
      <c r="C24" s="24">
        <f>IFERROR(LARGE('Picks &amp; Scores'!$O$4:$O$33,22),"")</f>
        <v>0</v>
      </c>
      <c r="D24" s="25">
        <f ca="1">IFERROR(COUNTIF(OFFSET('Picks &amp; Scores'!$D$4:$N$33,MATCH(C24,'Picks &amp; Scores'!$O$4:$O$33,0)-1,0,1,11),10),"")</f>
        <v>0</v>
      </c>
    </row>
    <row r="25" spans="1:4" ht="18" x14ac:dyDescent="0.3">
      <c r="A25" s="26">
        <v>23</v>
      </c>
      <c r="B25" s="27" t="str">
        <f>IFERROR(INDEX('Picks &amp; Scores'!$B$4:$B$33,MATCH(LARGE('Picks &amp; Scores'!$O$4:$O$33,23),'Picks &amp; Scores'!$O$4:$O$33,0)),"")</f>
        <v>Emma Whitfield</v>
      </c>
      <c r="C25" s="28">
        <f>IFERROR(LARGE('Picks &amp; Scores'!$O$4:$O$33,23),"")</f>
        <v>0</v>
      </c>
      <c r="D25" s="29">
        <f ca="1">IFERROR(COUNTIF(OFFSET('Picks &amp; Scores'!$D$4:$N$33,MATCH(C25,'Picks &amp; Scores'!$O$4:$O$33,0)-1,0,1,11),10),"")</f>
        <v>0</v>
      </c>
    </row>
    <row r="26" spans="1:4" ht="18" x14ac:dyDescent="0.3">
      <c r="A26" s="22">
        <v>24</v>
      </c>
      <c r="B26" s="23" t="str">
        <f>IFERROR(INDEX('Picks &amp; Scores'!$B$4:$B$33,MATCH(LARGE('Picks &amp; Scores'!$O$4:$O$33,24),'Picks &amp; Scores'!$O$4:$O$33,0)),"")</f>
        <v>Emma Whitfield</v>
      </c>
      <c r="C26" s="24">
        <f>IFERROR(LARGE('Picks &amp; Scores'!$O$4:$O$33,24),"")</f>
        <v>0</v>
      </c>
      <c r="D26" s="25">
        <f ca="1">IFERROR(COUNTIF(OFFSET('Picks &amp; Scores'!$D$4:$N$33,MATCH(C26,'Picks &amp; Scores'!$O$4:$O$33,0)-1,0,1,11),10),"")</f>
        <v>0</v>
      </c>
    </row>
    <row r="27" spans="1:4" ht="18" x14ac:dyDescent="0.3">
      <c r="A27" s="26">
        <v>25</v>
      </c>
      <c r="B27" s="27" t="str">
        <f>IFERROR(INDEX('Picks &amp; Scores'!$B$4:$B$33,MATCH(LARGE('Picks &amp; Scores'!$O$4:$O$33,25),'Picks &amp; Scores'!$O$4:$O$33,0)),"")</f>
        <v>Emma Whitfield</v>
      </c>
      <c r="C27" s="28">
        <f>IFERROR(LARGE('Picks &amp; Scores'!$O$4:$O$33,25),"")</f>
        <v>0</v>
      </c>
      <c r="D27" s="29">
        <f ca="1">IFERROR(COUNTIF(OFFSET('Picks &amp; Scores'!$D$4:$N$33,MATCH(C27,'Picks &amp; Scores'!$O$4:$O$33,0)-1,0,1,11),10),"")</f>
        <v>0</v>
      </c>
    </row>
    <row r="28" spans="1:4" ht="18" x14ac:dyDescent="0.3">
      <c r="A28" s="22">
        <v>26</v>
      </c>
      <c r="B28" s="23" t="str">
        <f>IFERROR(INDEX('Picks &amp; Scores'!$B$4:$B$33,MATCH(LARGE('Picks &amp; Scores'!$O$4:$O$33,26),'Picks &amp; Scores'!$O$4:$O$33,0)),"")</f>
        <v>Emma Whitfield</v>
      </c>
      <c r="C28" s="24">
        <f>IFERROR(LARGE('Picks &amp; Scores'!$O$4:$O$33,26),"")</f>
        <v>0</v>
      </c>
      <c r="D28" s="25">
        <f ca="1">IFERROR(COUNTIF(OFFSET('Picks &amp; Scores'!$D$4:$N$33,MATCH(C28,'Picks &amp; Scores'!$O$4:$O$33,0)-1,0,1,11),10),"")</f>
        <v>0</v>
      </c>
    </row>
    <row r="29" spans="1:4" ht="18" x14ac:dyDescent="0.3">
      <c r="A29" s="26">
        <v>27</v>
      </c>
      <c r="B29" s="27" t="str">
        <f>IFERROR(INDEX('Picks &amp; Scores'!$B$4:$B$33,MATCH(LARGE('Picks &amp; Scores'!$O$4:$O$33,27),'Picks &amp; Scores'!$O$4:$O$33,0)),"")</f>
        <v>Emma Whitfield</v>
      </c>
      <c r="C29" s="28">
        <f>IFERROR(LARGE('Picks &amp; Scores'!$O$4:$O$33,27),"")</f>
        <v>0</v>
      </c>
      <c r="D29" s="29">
        <f ca="1">IFERROR(COUNTIF(OFFSET('Picks &amp; Scores'!$D$4:$N$33,MATCH(C29,'Picks &amp; Scores'!$O$4:$O$33,0)-1,0,1,11),10),"")</f>
        <v>0</v>
      </c>
    </row>
    <row r="30" spans="1:4" ht="18" x14ac:dyDescent="0.3">
      <c r="A30" s="22">
        <v>28</v>
      </c>
      <c r="B30" s="23" t="str">
        <f>IFERROR(INDEX('Picks &amp; Scores'!$B$4:$B$33,MATCH(LARGE('Picks &amp; Scores'!$O$4:$O$33,28),'Picks &amp; Scores'!$O$4:$O$33,0)),"")</f>
        <v>Emma Whitfield</v>
      </c>
      <c r="C30" s="24">
        <f>IFERROR(LARGE('Picks &amp; Scores'!$O$4:$O$33,28),"")</f>
        <v>0</v>
      </c>
      <c r="D30" s="25">
        <f ca="1">IFERROR(COUNTIF(OFFSET('Picks &amp; Scores'!$D$4:$N$33,MATCH(C30,'Picks &amp; Scores'!$O$4:$O$33,0)-1,0,1,11),10),"")</f>
        <v>0</v>
      </c>
    </row>
    <row r="31" spans="1:4" ht="18" x14ac:dyDescent="0.3">
      <c r="A31" s="26">
        <v>29</v>
      </c>
      <c r="B31" s="27" t="str">
        <f>IFERROR(INDEX('Picks &amp; Scores'!$B$4:$B$33,MATCH(LARGE('Picks &amp; Scores'!$O$4:$O$33,29),'Picks &amp; Scores'!$O$4:$O$33,0)),"")</f>
        <v>Emma Whitfield</v>
      </c>
      <c r="C31" s="28">
        <f>IFERROR(LARGE('Picks &amp; Scores'!$O$4:$O$33,29),"")</f>
        <v>0</v>
      </c>
      <c r="D31" s="29">
        <f ca="1">IFERROR(COUNTIF(OFFSET('Picks &amp; Scores'!$D$4:$N$33,MATCH(C31,'Picks &amp; Scores'!$O$4:$O$33,0)-1,0,1,11),10),"")</f>
        <v>0</v>
      </c>
    </row>
    <row r="32" spans="1:4" ht="18" x14ac:dyDescent="0.3">
      <c r="A32" s="22">
        <v>30</v>
      </c>
      <c r="B32" s="23" t="str">
        <f>IFERROR(INDEX('Picks &amp; Scores'!$B$4:$B$33,MATCH(LARGE('Picks &amp; Scores'!$O$4:$O$33,30),'Picks &amp; Scores'!$O$4:$O$33,0)),"")</f>
        <v>Emma Whitfield</v>
      </c>
      <c r="C32" s="24">
        <f>IFERROR(LARGE('Picks &amp; Scores'!$O$4:$O$33,30),"")</f>
        <v>0</v>
      </c>
      <c r="D32" s="25">
        <f ca="1">IFERROR(COUNTIF(OFFSET('Picks &amp; Scores'!$D$4:$N$33,MATCH(C32,'Picks &amp; Scores'!$O$4:$O$33,0)-1,0,1,11),10),"")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sqref="A1:F1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6" t="s">
        <v>37</v>
      </c>
      <c r="B1" s="36"/>
      <c r="C1" s="36"/>
      <c r="D1" s="36"/>
      <c r="E1" s="36"/>
      <c r="F1" s="36"/>
    </row>
    <row r="3" spans="1:6" ht="17.399999999999999" x14ac:dyDescent="0.35">
      <c r="A3" s="43" t="s">
        <v>38</v>
      </c>
      <c r="B3" s="43"/>
      <c r="C3" s="43"/>
      <c r="D3" s="43"/>
      <c r="E3" s="43"/>
      <c r="F3" s="43"/>
    </row>
    <row r="4" spans="1:6" x14ac:dyDescent="0.3">
      <c r="A4" s="30" t="s">
        <v>39</v>
      </c>
    </row>
    <row r="5" spans="1:6" x14ac:dyDescent="0.3">
      <c r="A5" s="30" t="s">
        <v>40</v>
      </c>
    </row>
    <row r="6" spans="1:6" x14ac:dyDescent="0.3">
      <c r="A6" s="30" t="s">
        <v>41</v>
      </c>
    </row>
    <row r="8" spans="1:6" ht="17.399999999999999" x14ac:dyDescent="0.35">
      <c r="A8" s="43" t="s">
        <v>42</v>
      </c>
      <c r="B8" s="43"/>
      <c r="C8" s="43"/>
      <c r="D8" s="43"/>
      <c r="E8" s="43"/>
      <c r="F8" s="43"/>
    </row>
    <row r="9" spans="1:6" x14ac:dyDescent="0.3">
      <c r="A9" s="30" t="s">
        <v>43</v>
      </c>
    </row>
    <row r="10" spans="1:6" x14ac:dyDescent="0.3">
      <c r="A10" s="30" t="s">
        <v>44</v>
      </c>
    </row>
    <row r="11" spans="1:6" x14ac:dyDescent="0.3">
      <c r="A11" s="30" t="s">
        <v>45</v>
      </c>
    </row>
    <row r="12" spans="1:6" x14ac:dyDescent="0.3">
      <c r="A12" s="30" t="s">
        <v>46</v>
      </c>
    </row>
    <row r="13" spans="1:6" x14ac:dyDescent="0.3">
      <c r="A13" s="30" t="s">
        <v>47</v>
      </c>
    </row>
    <row r="14" spans="1:6" x14ac:dyDescent="0.3">
      <c r="A14" s="30" t="s">
        <v>48</v>
      </c>
    </row>
    <row r="15" spans="1:6" x14ac:dyDescent="0.3">
      <c r="A15" s="30" t="s">
        <v>49</v>
      </c>
    </row>
    <row r="17" spans="1:6" ht="17.399999999999999" x14ac:dyDescent="0.35">
      <c r="A17" s="43" t="s">
        <v>50</v>
      </c>
      <c r="B17" s="43"/>
      <c r="C17" s="43"/>
      <c r="D17" s="43"/>
      <c r="E17" s="43"/>
      <c r="F17" s="43"/>
    </row>
    <row r="18" spans="1:6" x14ac:dyDescent="0.3">
      <c r="A18" s="30" t="s">
        <v>51</v>
      </c>
    </row>
    <row r="19" spans="1:6" x14ac:dyDescent="0.3">
      <c r="A19" s="30" t="s">
        <v>52</v>
      </c>
    </row>
    <row r="20" spans="1:6" x14ac:dyDescent="0.3">
      <c r="A20" s="30" t="s">
        <v>53</v>
      </c>
    </row>
    <row r="21" spans="1:6" x14ac:dyDescent="0.3">
      <c r="A21" s="30" t="s">
        <v>54</v>
      </c>
    </row>
    <row r="22" spans="1:6" x14ac:dyDescent="0.3">
      <c r="A22" s="30" t="s">
        <v>55</v>
      </c>
    </row>
    <row r="23" spans="1:6" x14ac:dyDescent="0.3">
      <c r="A23" s="30" t="s">
        <v>56</v>
      </c>
    </row>
    <row r="24" spans="1:6" x14ac:dyDescent="0.3">
      <c r="A24" s="30" t="s">
        <v>57</v>
      </c>
    </row>
    <row r="25" spans="1:6" x14ac:dyDescent="0.3">
      <c r="A25" s="30" t="s">
        <v>58</v>
      </c>
    </row>
    <row r="27" spans="1:6" ht="17.399999999999999" x14ac:dyDescent="0.35">
      <c r="A27" s="43" t="s">
        <v>59</v>
      </c>
      <c r="B27" s="43"/>
      <c r="C27" s="43"/>
      <c r="D27" s="43"/>
      <c r="E27" s="43"/>
      <c r="F27" s="43"/>
    </row>
    <row r="28" spans="1:6" x14ac:dyDescent="0.3">
      <c r="A28" s="30" t="s">
        <v>60</v>
      </c>
    </row>
    <row r="29" spans="1:6" x14ac:dyDescent="0.3">
      <c r="A29" s="30" t="s">
        <v>61</v>
      </c>
    </row>
    <row r="30" spans="1:6" x14ac:dyDescent="0.3">
      <c r="A30" s="30" t="s">
        <v>62</v>
      </c>
    </row>
    <row r="31" spans="1:6" x14ac:dyDescent="0.3">
      <c r="A31" s="30" t="s">
        <v>63</v>
      </c>
    </row>
    <row r="32" spans="1:6" x14ac:dyDescent="0.3">
      <c r="A32" s="30" t="s">
        <v>64</v>
      </c>
    </row>
    <row r="33" spans="1:1" x14ac:dyDescent="0.3">
      <c r="A33" s="30" t="s">
        <v>65</v>
      </c>
    </row>
    <row r="35" spans="1:1" x14ac:dyDescent="0.3">
      <c r="A35" s="30" t="s">
        <v>66</v>
      </c>
    </row>
    <row r="37" spans="1:1" ht="17.399999999999999" x14ac:dyDescent="0.35">
      <c r="A37" s="31" t="s">
        <v>67</v>
      </c>
    </row>
    <row r="38" spans="1:1" x14ac:dyDescent="0.3">
      <c r="A38" s="30" t="s">
        <v>68</v>
      </c>
    </row>
    <row r="39" spans="1:1" x14ac:dyDescent="0.3">
      <c r="A39" s="30" t="s">
        <v>69</v>
      </c>
    </row>
    <row r="40" spans="1:1" x14ac:dyDescent="0.3">
      <c r="A40" s="30" t="s">
        <v>70</v>
      </c>
    </row>
    <row r="41" spans="1:1" x14ac:dyDescent="0.3">
      <c r="A41" s="30" t="s">
        <v>71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2026-06-09T07:55:00Z</dcterms:modified>
  <dc:language>en-US</dc:language>
</cp:coreProperties>
</file>